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ishthota/Downloads/"/>
    </mc:Choice>
  </mc:AlternateContent>
  <xr:revisionPtr revIDLastSave="0" documentId="8_{15BD718A-74B7-2E46-BC2E-EECA528B9CDF}" xr6:coauthVersionLast="47" xr6:coauthVersionMax="47" xr10:uidLastSave="{00000000-0000-0000-0000-000000000000}"/>
  <bookViews>
    <workbookView xWindow="0" yWindow="760" windowWidth="30240" windowHeight="17580" firstSheet="1" activeTab="2" xr2:uid="{AC472924-071A-47C1-BECF-3FF39E57F828}"/>
  </bookViews>
  <sheets>
    <sheet name="Expense Items" sheetId="2" r:id="rId1"/>
    <sheet name="Income Items" sheetId="1" r:id="rId2"/>
    <sheet name="Sql_Revenue_Category_Drilldown" sheetId="3" r:id="rId3"/>
    <sheet name="SQL_Quarterly_Analysis" sheetId="7" r:id="rId4"/>
    <sheet name="SQL_Expense_Overspend" sheetId="11" r:id="rId5"/>
    <sheet name="SQL_Monthly_Analysis" sheetId="8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8" l="1"/>
  <c r="H22" i="8"/>
  <c r="H23" i="8"/>
  <c r="H18" i="8"/>
  <c r="H17" i="8"/>
  <c r="H19" i="8"/>
  <c r="H20" i="8"/>
  <c r="H15" i="8"/>
  <c r="H16" i="8"/>
  <c r="H24" i="8"/>
</calcChain>
</file>

<file path=xl/sharedStrings.xml><?xml version="1.0" encoding="utf-8"?>
<sst xmlns="http://schemas.openxmlformats.org/spreadsheetml/2006/main" count="1967" uniqueCount="93">
  <si>
    <t>Date</t>
  </si>
  <si>
    <t>Month</t>
  </si>
  <si>
    <t>City</t>
  </si>
  <si>
    <t>Category</t>
  </si>
  <si>
    <t>Sub-category</t>
  </si>
  <si>
    <t>Budgeted Expense</t>
  </si>
  <si>
    <t>Actual Expense</t>
  </si>
  <si>
    <t>2024-01</t>
  </si>
  <si>
    <t>January</t>
  </si>
  <si>
    <t>Adelaide</t>
  </si>
  <si>
    <t>Motor Vehicles</t>
  </si>
  <si>
    <t>Fuel &amp; Oil</t>
  </si>
  <si>
    <t>Sydney</t>
  </si>
  <si>
    <t>Melbourne</t>
  </si>
  <si>
    <t>Rent</t>
  </si>
  <si>
    <t>Office Rent</t>
  </si>
  <si>
    <t>Office Expenses</t>
  </si>
  <si>
    <t>General</t>
  </si>
  <si>
    <t>Subscriptions &amp; Memberships</t>
  </si>
  <si>
    <t>Professional</t>
  </si>
  <si>
    <t>Tolls</t>
  </si>
  <si>
    <t>Sundry Expenses</t>
  </si>
  <si>
    <t>Miscellaneous</t>
  </si>
  <si>
    <t>Internet</t>
  </si>
  <si>
    <t>Broadband</t>
  </si>
  <si>
    <t>Salary</t>
  </si>
  <si>
    <t>Employee Salaries</t>
  </si>
  <si>
    <t>2024-02</t>
  </si>
  <si>
    <t>February</t>
  </si>
  <si>
    <t>2024-03</t>
  </si>
  <si>
    <t>March</t>
  </si>
  <si>
    <t>2024-04</t>
  </si>
  <si>
    <t>April</t>
  </si>
  <si>
    <t>2024-05</t>
  </si>
  <si>
    <t>May</t>
  </si>
  <si>
    <t>2024-06</t>
  </si>
  <si>
    <t>June</t>
  </si>
  <si>
    <t>2024-07</t>
  </si>
  <si>
    <t>July</t>
  </si>
  <si>
    <t>2024-08</t>
  </si>
  <si>
    <t>August</t>
  </si>
  <si>
    <t>2024-09</t>
  </si>
  <si>
    <t>September</t>
  </si>
  <si>
    <t>2024-10</t>
  </si>
  <si>
    <t>October</t>
  </si>
  <si>
    <t>2024-11</t>
  </si>
  <si>
    <t>November</t>
  </si>
  <si>
    <t>2024-12</t>
  </si>
  <si>
    <t>December</t>
  </si>
  <si>
    <t>Category I</t>
  </si>
  <si>
    <t>Budgeted Income</t>
  </si>
  <si>
    <t>Actual Income</t>
  </si>
  <si>
    <t>Cateogry II</t>
  </si>
  <si>
    <t>Income</t>
  </si>
  <si>
    <t>Student Services</t>
  </si>
  <si>
    <t>Interview Prep</t>
  </si>
  <si>
    <t>Mentoring Program</t>
  </si>
  <si>
    <t>Networking Strategy</t>
  </si>
  <si>
    <t>Social Media Ads</t>
  </si>
  <si>
    <t>X</t>
  </si>
  <si>
    <t>LinkedIn</t>
  </si>
  <si>
    <t>Facebook</t>
  </si>
  <si>
    <t>LinkedIn Profile</t>
  </si>
  <si>
    <t>Resume + LinkedIn Profile</t>
  </si>
  <si>
    <t>Resume (service fee)</t>
  </si>
  <si>
    <t>Quarter</t>
  </si>
  <si>
    <t>Total Revenue</t>
  </si>
  <si>
    <t>Revenue</t>
  </si>
  <si>
    <t>Expense</t>
  </si>
  <si>
    <t>Profit</t>
  </si>
  <si>
    <t>Budget</t>
  </si>
  <si>
    <t>Actual</t>
  </si>
  <si>
    <t>Over Spend</t>
  </si>
  <si>
    <t>Variance</t>
  </si>
  <si>
    <t>Category_1</t>
  </si>
  <si>
    <t>Category_11</t>
  </si>
  <si>
    <t>Revenue_Category_Drilldown</t>
  </si>
  <si>
    <t>Sum of Total Revenue</t>
  </si>
  <si>
    <t>Grand Total</t>
  </si>
  <si>
    <t>Social Media Ads Total</t>
  </si>
  <si>
    <t>Student Services Total</t>
  </si>
  <si>
    <t>Over Spending Analysis</t>
  </si>
  <si>
    <t>Q1</t>
  </si>
  <si>
    <t>Q2</t>
  </si>
  <si>
    <t>Q3</t>
  </si>
  <si>
    <t>Q4</t>
  </si>
  <si>
    <t>Month_Number</t>
  </si>
  <si>
    <t>Monthly Expense Performance Analysis</t>
  </si>
  <si>
    <r>
      <rPr>
        <b/>
        <sz val="20"/>
        <color theme="1"/>
        <rFont val="Segoe UI"/>
      </rPr>
      <t>Insights:</t>
    </r>
    <r>
      <rPr>
        <sz val="20"/>
        <color theme="1"/>
        <rFont val="Segoe UI"/>
      </rPr>
      <t xml:space="preserve">
• Student Services generate the majority of revenue, led by Mentoring Programs.
• LinkedIn performs strongly across both services and advertising.
</t>
    </r>
    <r>
      <rPr>
        <b/>
        <sz val="20"/>
        <color theme="1"/>
        <rFont val="Segoe UI"/>
      </rPr>
      <t>Recommendations:</t>
    </r>
    <r>
      <rPr>
        <sz val="20"/>
        <color theme="1"/>
        <rFont val="Segoe UI"/>
      </rPr>
      <t xml:space="preserve">
• Prioritise scaling high-performing Student Services.
• Focus social media spend on LinkedIn to drive higher-margin services.</t>
    </r>
  </si>
  <si>
    <t>Quarterly Business Performance Summary</t>
  </si>
  <si>
    <r>
      <rPr>
        <b/>
        <sz val="11"/>
        <color theme="1"/>
        <rFont val="Segoe UI"/>
      </rPr>
      <t>INSIGHTS</t>
    </r>
    <r>
      <rPr>
        <sz val="11"/>
        <color theme="1"/>
        <rFont val="Segoe UI"/>
      </rPr>
      <t xml:space="preserve">
• Revenue remains stable across quarters, with Q4 showing the highest overall performance.
• Profit margins are consistent, indicating effective expense control despite minor revenue fluctuations.
</t>
    </r>
    <r>
      <rPr>
        <b/>
        <sz val="11"/>
        <color theme="1"/>
        <rFont val="Segoe UI"/>
      </rPr>
      <t>RECOMMENDATIONS</t>
    </r>
    <r>
      <rPr>
        <sz val="11"/>
        <color theme="1"/>
        <rFont val="Segoe UI"/>
      </rPr>
      <t xml:space="preserve">
• Maintain current cost control measures to preserve stable profit margins.
• Focus on revenue growth initiatives in Q2 to reduce seasonal dips.</t>
    </r>
  </si>
  <si>
    <r>
      <rPr>
        <b/>
        <sz val="14"/>
        <color theme="1"/>
        <rFont val="Segoe UI"/>
      </rPr>
      <t>INSIGHTS</t>
    </r>
    <r>
      <rPr>
        <sz val="14"/>
        <color theme="1"/>
        <rFont val="Segoe UI"/>
      </rPr>
      <t xml:space="preserve">
• Salary is the only category showing significant overspending, exceeding budget by 229.
• Most other expense categories are under budget, indicating effective cost control.
</t>
    </r>
    <r>
      <rPr>
        <b/>
        <sz val="14"/>
        <color theme="1"/>
        <rFont val="Segoe UI"/>
      </rPr>
      <t>RECOMMENDATIONS</t>
    </r>
    <r>
      <rPr>
        <sz val="14"/>
        <color theme="1"/>
        <rFont val="Segoe UI"/>
      </rPr>
      <t xml:space="preserve">
• Review salary forecasting and workforce planning to reduce future overspending.
• Continue current cost management practices in non-salary categories.</t>
    </r>
  </si>
  <si>
    <r>
      <rPr>
        <b/>
        <sz val="15"/>
        <color theme="1"/>
        <rFont val="Segoe UI"/>
      </rPr>
      <t>INSIGHTS</t>
    </r>
    <r>
      <rPr>
        <sz val="15"/>
        <color theme="1"/>
        <rFont val="Segoe UI"/>
      </rPr>
      <t xml:space="preserve">
• Actual expenses exceed budget at the start and end of the year, with the highest variance in January and December.
• Mid-year months (May–July) show consistent underspending, indicating effective cost control during that period.
</t>
    </r>
    <r>
      <rPr>
        <b/>
        <sz val="15"/>
        <color theme="1"/>
        <rFont val="Segoe UI"/>
      </rPr>
      <t>RECOMMENDATIONS</t>
    </r>
    <r>
      <rPr>
        <sz val="15"/>
        <color theme="1"/>
        <rFont val="Segoe UI"/>
      </rPr>
      <t xml:space="preserve">
• Investigate year-end and start-of-year cost drivers to reduce recurring budget overruns.
• Apply mid-year cost management practices consistently across all months.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</si>
</sst>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Segoe UI"/>
    </font>
    <font>
      <b/>
      <sz val="16"/>
      <color theme="1"/>
      <name val="Segoe UI"/>
    </font>
    <font>
      <sz val="11"/>
      <color theme="1"/>
      <name val="Segoe UI\"/>
    </font>
    <font>
      <b/>
      <sz val="11"/>
      <color theme="1"/>
      <name val="Segoe UI"/>
    </font>
    <font>
      <sz val="16"/>
      <color theme="1"/>
      <name val="Segoe UI"/>
    </font>
    <font>
      <b/>
      <sz val="14"/>
      <color theme="1"/>
      <name val="Segoe UI"/>
    </font>
    <font>
      <sz val="14"/>
      <color theme="1"/>
      <name val="Segoe UI"/>
    </font>
    <font>
      <b/>
      <sz val="20"/>
      <color theme="1"/>
      <name val="Segoe UI"/>
    </font>
    <font>
      <sz val="20"/>
      <color theme="1"/>
      <name val="Segoe UI"/>
    </font>
    <font>
      <b/>
      <sz val="15"/>
      <color theme="1"/>
      <name val="Segoe UI"/>
    </font>
    <font>
      <sz val="15"/>
      <color theme="1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2" fillId="0" borderId="0" xfId="0" pivotButton="1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shrinkToFi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shrinkToFit="1"/>
    </xf>
    <xf numFmtId="1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/>
    <xf numFmtId="0" fontId="12" fillId="0" borderId="0" xfId="0" applyFont="1" applyAlignment="1">
      <alignment wrapText="1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color theme="1"/>
        <name val="Segoe UI"/>
        <scheme val="none"/>
      </font>
      <numFmt numFmtId="2" formatCode="0.00"/>
    </dxf>
    <dxf>
      <font>
        <strike val="0"/>
        <outline val="0"/>
        <shadow val="0"/>
        <u val="none"/>
        <vertAlign val="baseline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color theme="1"/>
        <name val="Segoe UI"/>
        <scheme val="none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[financial_performance_dashboard.xlsx]Sql_Revenue_Category_Drilldown!PivotTable5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AU" sz="2000"/>
              <a:t>Revenue Breakdown by Category and Service Type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Sql_Revenue_Category_Drilldown!$J$29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Sql_Revenue_Category_Drilldown!$H$30:$I$41</c:f>
              <c:multiLvlStrCache>
                <c:ptCount val="9"/>
                <c:lvl>
                  <c:pt idx="0">
                    <c:v>Mentoring Program</c:v>
                  </c:pt>
                  <c:pt idx="1">
                    <c:v>LinkedIn Profile</c:v>
                  </c:pt>
                  <c:pt idx="2">
                    <c:v>Interview Prep</c:v>
                  </c:pt>
                  <c:pt idx="3">
                    <c:v>Resume + LinkedIn Profile</c:v>
                  </c:pt>
                  <c:pt idx="4">
                    <c:v>Networking Strategy</c:v>
                  </c:pt>
                  <c:pt idx="5">
                    <c:v>Resume (service fee)</c:v>
                  </c:pt>
                  <c:pt idx="6">
                    <c:v>LinkedIn</c:v>
                  </c:pt>
                  <c:pt idx="7">
                    <c:v>X</c:v>
                  </c:pt>
                  <c:pt idx="8">
                    <c:v>Facebook</c:v>
                  </c:pt>
                </c:lvl>
                <c:lvl>
                  <c:pt idx="0">
                    <c:v>Student Services</c:v>
                  </c:pt>
                  <c:pt idx="6">
                    <c:v>Social Media Ads</c:v>
                  </c:pt>
                </c:lvl>
              </c:multiLvlStrCache>
            </c:multiLvlStrRef>
          </c:cat>
          <c:val>
            <c:numRef>
              <c:f>Sql_Revenue_Category_Drilldown!$J$30:$J$41</c:f>
              <c:numCache>
                <c:formatCode>0.00</c:formatCode>
                <c:ptCount val="9"/>
                <c:pt idx="0">
                  <c:v>46706</c:v>
                </c:pt>
                <c:pt idx="1">
                  <c:v>34043</c:v>
                </c:pt>
                <c:pt idx="2">
                  <c:v>20648</c:v>
                </c:pt>
                <c:pt idx="3">
                  <c:v>18051</c:v>
                </c:pt>
                <c:pt idx="4">
                  <c:v>17187</c:v>
                </c:pt>
                <c:pt idx="5">
                  <c:v>8465</c:v>
                </c:pt>
                <c:pt idx="6">
                  <c:v>21842</c:v>
                </c:pt>
                <c:pt idx="7">
                  <c:v>19722</c:v>
                </c:pt>
                <c:pt idx="8">
                  <c:v>17980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6-8247-AA80-BF313AC404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-49"/>
        <c:axId val="1706643008"/>
        <c:axId val="1706735344"/>
      </c:barChart>
      <c:catAx>
        <c:axId val="17066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2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06735344"/>
        <c:crosses val="autoZero"/>
        <c:auto val="1"/>
        <c:lblAlgn val="ctr"/>
        <c:lblOffset val="100"/>
        <c:noMultiLvlLbl val="0"/>
      </c:catAx>
      <c:valAx>
        <c:axId val="17067353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0664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AU" sz="1800" b="1">
                <a:latin typeface="Segoe UI" panose="020B0502040204020203" pitchFamily="34" charset="0"/>
                <a:cs typeface="Segoe UI" panose="020B0502040204020203" pitchFamily="34" charset="0"/>
              </a:rPr>
              <a:t>Quarterly Financial Performance Overview</a:t>
            </a:r>
            <a:endParaRPr lang="en-GB" sz="18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j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SQL_Quarterly_Analysis!$H$13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SQL_Quarterly_Analysis!$G$14:$G$17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SQL_Quarterly_Analysis!$H$14:$H$17</c:f>
              <c:numCache>
                <c:formatCode>0</c:formatCode>
                <c:ptCount val="4"/>
                <c:pt idx="0">
                  <c:v>51766</c:v>
                </c:pt>
                <c:pt idx="1">
                  <c:v>50180</c:v>
                </c:pt>
                <c:pt idx="2">
                  <c:v>51062</c:v>
                </c:pt>
                <c:pt idx="3">
                  <c:v>51636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0-3B49-A894-F1DBD8A8C94A}"/>
            </c:ext>
          </c:extLst>
        </c:ser>
        <c:ser>
          <c:idx val="2"/>
          <c:order val="1"/>
          <c:tx>
            <c:strRef>
              <c:f>SQL_Quarterly_Analysis!$I$13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SQL_Quarterly_Analysis!$G$14:$G$17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SQL_Quarterly_Analysis!$I$14:$I$17</c:f>
              <c:numCache>
                <c:formatCode>0</c:formatCode>
                <c:ptCount val="4"/>
                <c:pt idx="0">
                  <c:v>22005</c:v>
                </c:pt>
                <c:pt idx="1">
                  <c:v>22168</c:v>
                </c:pt>
                <c:pt idx="2">
                  <c:v>21862</c:v>
                </c:pt>
                <c:pt idx="3">
                  <c:v>22029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0-3B49-A894-F1DBD8A8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43033456"/>
        <c:axId val="2116666383"/>
      </c:barChart>
      <c:lineChart>
        <c:grouping val="standard"/>
        <c:varyColors val="0"/>
        <c:ser>
          <c:idx val="3"/>
          <c:order val="2"/>
          <c:tx>
            <c:strRef>
              <c:f>SQL_Quarterly_Analysis!$J$13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SQL_Quarterly_Analysis!$G$13:$G$17</c:f>
              <c:strCache>
                <c:ptCount val="5"/>
                <c:pt idx="0">
                  <c:v>Quarter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SQL_Quarterly_Analysis!$J$14:$J$17</c:f>
              <c:numCache>
                <c:formatCode>0</c:formatCode>
                <c:ptCount val="4"/>
                <c:pt idx="0">
                  <c:v>29761</c:v>
                </c:pt>
                <c:pt idx="1">
                  <c:v>28012</c:v>
                </c:pt>
                <c:pt idx="2">
                  <c:v>29200</c:v>
                </c:pt>
                <c:pt idx="3">
                  <c:v>29607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D0-3B49-A894-F1DBD8A8C94A}"/>
            </c:ext>
          </c:extLst>
        </c:ser>
        <c:ser>
          <c:idx val="4"/>
          <c:order val="3"/>
          <c:tx>
            <c:strRef>
              <c:f>SQL_Quarterly_Analysis!#REF!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SQL_Quarterly_Analysis!$G$13:$G$17</c:f>
              <c:strCache>
                <c:ptCount val="5"/>
                <c:pt idx="0">
                  <c:v>Quarter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SQL_Quarterly_Analysis!#REF!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D0-3B49-A894-F1DBD8A8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598352"/>
        <c:axId val="754015008"/>
      </c:lineChart>
      <c:catAx>
        <c:axId val="144303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116666383"/>
        <c:crosses val="autoZero"/>
        <c:auto val="1"/>
        <c:lblAlgn val="ctr"/>
        <c:lblOffset val="100"/>
        <c:noMultiLvlLbl val="0"/>
      </c:catAx>
      <c:valAx>
        <c:axId val="211666638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43033456"/>
        <c:crosses val="autoZero"/>
        <c:crossBetween val="between"/>
      </c:valAx>
      <c:valAx>
        <c:axId val="754015008"/>
        <c:scaling>
          <c:orientation val="minMax"/>
        </c:scaling>
        <c:delete val="1"/>
        <c:axPos val="r"/>
        <c:numFmt formatCode="0" sourceLinked="1"/>
        <c:majorTickMark val="none"/>
        <c:minorTickMark val="none"/>
        <c:tickLblPos val="nextTo"/>
        <c:crossAx val="754598352"/>
        <c:crosses val="max"/>
        <c:crossBetween val="between"/>
      </c:valAx>
      <c:catAx>
        <c:axId val="754598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401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latin typeface="Segoe UI" panose="020B0502040204020203" pitchFamily="34" charset="0"/>
                <a:cs typeface="Segoe UI" panose="020B0502040204020203" pitchFamily="34" charset="0"/>
              </a:rPr>
              <a:t>Over Spending Analysis by</a:t>
            </a:r>
            <a:r>
              <a:rPr lang="en-GB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Category</a:t>
            </a:r>
            <a:endParaRPr lang="en-GB" sz="18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SQL_Expense_Overspend!$G$11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SQL_Expense_Overspend!$F$12:$F$18</c:f>
              <c:strCache>
                <c:ptCount val="7"/>
                <c:pt idx="0">
                  <c:v>Salary</c:v>
                </c:pt>
                <c:pt idx="1">
                  <c:v>Sundry Expenses</c:v>
                </c:pt>
                <c:pt idx="2">
                  <c:v>Office Expenses</c:v>
                </c:pt>
                <c:pt idx="3">
                  <c:v>Internet</c:v>
                </c:pt>
                <c:pt idx="4">
                  <c:v>Subscriptions &amp; Memberships</c:v>
                </c:pt>
                <c:pt idx="5">
                  <c:v>Rent</c:v>
                </c:pt>
                <c:pt idx="6">
                  <c:v>Motor Vehicles</c:v>
                </c:pt>
              </c:strCache>
            </c:strRef>
          </c:cat>
          <c:val>
            <c:numRef>
              <c:f>SQL_Expense_Overspend!$G$12:$G$18</c:f>
              <c:numCache>
                <c:formatCode>General</c:formatCode>
                <c:ptCount val="7"/>
                <c:pt idx="0">
                  <c:v>57600</c:v>
                </c:pt>
                <c:pt idx="1">
                  <c:v>5472</c:v>
                </c:pt>
                <c:pt idx="2">
                  <c:v>5435.99999999999</c:v>
                </c:pt>
                <c:pt idx="3">
                  <c:v>900</c:v>
                </c:pt>
                <c:pt idx="4">
                  <c:v>2820</c:v>
                </c:pt>
                <c:pt idx="5">
                  <c:v>5400</c:v>
                </c:pt>
                <c:pt idx="6">
                  <c:v>10211.9999999999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5-024D-A458-A8475007C623}"/>
            </c:ext>
          </c:extLst>
        </c:ser>
        <c:ser>
          <c:idx val="1"/>
          <c:order val="1"/>
          <c:tx>
            <c:strRef>
              <c:f>SQL_Expense_Overspend!$H$11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SQL_Expense_Overspend!$F$12:$F$18</c:f>
              <c:strCache>
                <c:ptCount val="7"/>
                <c:pt idx="0">
                  <c:v>Salary</c:v>
                </c:pt>
                <c:pt idx="1">
                  <c:v>Sundry Expenses</c:v>
                </c:pt>
                <c:pt idx="2">
                  <c:v>Office Expenses</c:v>
                </c:pt>
                <c:pt idx="3">
                  <c:v>Internet</c:v>
                </c:pt>
                <c:pt idx="4">
                  <c:v>Subscriptions &amp; Memberships</c:v>
                </c:pt>
                <c:pt idx="5">
                  <c:v>Rent</c:v>
                </c:pt>
                <c:pt idx="6">
                  <c:v>Motor Vehicles</c:v>
                </c:pt>
              </c:strCache>
            </c:strRef>
          </c:cat>
          <c:val>
            <c:numRef>
              <c:f>SQL_Expense_Overspend!$H$12:$H$18</c:f>
              <c:numCache>
                <c:formatCode>General</c:formatCode>
                <c:ptCount val="7"/>
                <c:pt idx="0">
                  <c:v>57829</c:v>
                </c:pt>
                <c:pt idx="1">
                  <c:v>5505</c:v>
                </c:pt>
                <c:pt idx="2">
                  <c:v>5466</c:v>
                </c:pt>
                <c:pt idx="3">
                  <c:v>893</c:v>
                </c:pt>
                <c:pt idx="4">
                  <c:v>2805</c:v>
                </c:pt>
                <c:pt idx="5">
                  <c:v>5382</c:v>
                </c:pt>
                <c:pt idx="6">
                  <c:v>10184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5-024D-A458-A8475007C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343440"/>
        <c:axId val="846287232"/>
      </c:barChart>
      <c:lineChart>
        <c:grouping val="standard"/>
        <c:varyColors val="0"/>
        <c:ser>
          <c:idx val="2"/>
          <c:order val="2"/>
          <c:tx>
            <c:strRef>
              <c:f>SQL_Expense_Overspend!$I$11</c:f>
              <c:strCache>
                <c:ptCount val="1"/>
                <c:pt idx="0">
                  <c:v>Over Spend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SQL_Expense_Overspend!$F$12:$F$18</c:f>
              <c:strCache>
                <c:ptCount val="7"/>
                <c:pt idx="0">
                  <c:v>Salary</c:v>
                </c:pt>
                <c:pt idx="1">
                  <c:v>Sundry Expenses</c:v>
                </c:pt>
                <c:pt idx="2">
                  <c:v>Office Expenses</c:v>
                </c:pt>
                <c:pt idx="3">
                  <c:v>Internet</c:v>
                </c:pt>
                <c:pt idx="4">
                  <c:v>Subscriptions &amp; Memberships</c:v>
                </c:pt>
                <c:pt idx="5">
                  <c:v>Rent</c:v>
                </c:pt>
                <c:pt idx="6">
                  <c:v>Motor Vehicles</c:v>
                </c:pt>
              </c:strCache>
            </c:strRef>
          </c:cat>
          <c:val>
            <c:numRef>
              <c:f>SQL_Expense_Overspend!$I$12:$I$18</c:f>
              <c:numCache>
                <c:formatCode>General</c:formatCode>
                <c:ptCount val="7"/>
                <c:pt idx="0">
                  <c:v>229</c:v>
                </c:pt>
                <c:pt idx="1">
                  <c:v>32.999999999998103</c:v>
                </c:pt>
                <c:pt idx="2">
                  <c:v>30.000000000001801</c:v>
                </c:pt>
                <c:pt idx="3">
                  <c:v>-7</c:v>
                </c:pt>
                <c:pt idx="4">
                  <c:v>-15</c:v>
                </c:pt>
                <c:pt idx="5">
                  <c:v>-18</c:v>
                </c:pt>
                <c:pt idx="6">
                  <c:v>-27.999999999996302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5-024D-A458-A8475007C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485232"/>
        <c:axId val="1350864640"/>
      </c:lineChart>
      <c:catAx>
        <c:axId val="8463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46287232"/>
        <c:crosses val="autoZero"/>
        <c:auto val="1"/>
        <c:lblAlgn val="ctr"/>
        <c:lblOffset val="100"/>
        <c:noMultiLvlLbl val="0"/>
      </c:catAx>
      <c:valAx>
        <c:axId val="846287232"/>
        <c:scaling>
          <c:orientation val="minMax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46343440"/>
        <c:crosses val="autoZero"/>
        <c:crossBetween val="between"/>
      </c:valAx>
      <c:valAx>
        <c:axId val="1350864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351485232"/>
        <c:crosses val="max"/>
        <c:crossBetween val="between"/>
      </c:valAx>
      <c:catAx>
        <c:axId val="1351485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086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1800" b="1">
                <a:latin typeface="Segoe UI" panose="020B0502040204020203" pitchFamily="34" charset="0"/>
                <a:cs typeface="Segoe UI" panose="020B0502040204020203" pitchFamily="34" charset="0"/>
              </a:rPr>
              <a:t>Monthly Budget vs Actual with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SQL_Monthly_Analysis!$H$14</c:f>
              <c:strCache>
                <c:ptCount val="1"/>
                <c:pt idx="0">
                  <c:v>Month_Number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SQL_Monthly_Analysis!$G$15:$G$24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SQL_Monthly_Analysis!$H$15:$H$24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E-304C-AB42-E8B355A0136C}"/>
            </c:ext>
          </c:extLst>
        </c:ser>
        <c:ser>
          <c:idx val="1"/>
          <c:order val="1"/>
          <c:tx>
            <c:strRef>
              <c:f>SQL_Monthly_Analysis!$I$14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SQL_Monthly_Analysis!$G$15:$G$24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SQL_Monthly_Analysis!$I$15:$I$24</c:f>
              <c:numCache>
                <c:formatCode>0.00</c:formatCode>
                <c:ptCount val="10"/>
                <c:pt idx="0">
                  <c:v>17000</c:v>
                </c:pt>
                <c:pt idx="1">
                  <c:v>17000</c:v>
                </c:pt>
                <c:pt idx="2">
                  <c:v>17000</c:v>
                </c:pt>
                <c:pt idx="3">
                  <c:v>17000</c:v>
                </c:pt>
                <c:pt idx="4">
                  <c:v>17000</c:v>
                </c:pt>
                <c:pt idx="5">
                  <c:v>17000</c:v>
                </c:pt>
                <c:pt idx="6">
                  <c:v>17000</c:v>
                </c:pt>
                <c:pt idx="7">
                  <c:v>17000</c:v>
                </c:pt>
                <c:pt idx="8">
                  <c:v>17000</c:v>
                </c:pt>
                <c:pt idx="9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E-304C-AB42-E8B355A0136C}"/>
            </c:ext>
          </c:extLst>
        </c:ser>
        <c:ser>
          <c:idx val="2"/>
          <c:order val="2"/>
          <c:tx>
            <c:strRef>
              <c:f>SQL_Monthly_Analysis!$J$14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SQL_Monthly_Analysis!$G$15:$G$24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SQL_Monthly_Analysis!$J$15:$J$24</c:f>
              <c:numCache>
                <c:formatCode>0.00</c:formatCode>
                <c:ptCount val="10"/>
                <c:pt idx="0">
                  <c:v>17426</c:v>
                </c:pt>
                <c:pt idx="1">
                  <c:v>17045</c:v>
                </c:pt>
                <c:pt idx="2">
                  <c:v>17295</c:v>
                </c:pt>
                <c:pt idx="3">
                  <c:v>16487</c:v>
                </c:pt>
                <c:pt idx="4">
                  <c:v>16622</c:v>
                </c:pt>
                <c:pt idx="5">
                  <c:v>16770</c:v>
                </c:pt>
                <c:pt idx="6">
                  <c:v>17023</c:v>
                </c:pt>
                <c:pt idx="7">
                  <c:v>17073</c:v>
                </c:pt>
                <c:pt idx="8">
                  <c:v>17123</c:v>
                </c:pt>
                <c:pt idx="9">
                  <c:v>17440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EE-304C-AB42-E8B355A0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268000"/>
        <c:axId val="496269712"/>
      </c:lineChart>
      <c:lineChart>
        <c:grouping val="standard"/>
        <c:varyColors val="0"/>
        <c:ser>
          <c:idx val="3"/>
          <c:order val="3"/>
          <c:tx>
            <c:strRef>
              <c:f>SQL_Monthly_Analysis!$K$14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SQL_Monthly_Analysis!$G$15:$G$24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SQL_Monthly_Analysis!$K$15:$K$24</c:f>
              <c:numCache>
                <c:formatCode>0.00</c:formatCode>
                <c:ptCount val="10"/>
                <c:pt idx="0">
                  <c:v>426</c:v>
                </c:pt>
                <c:pt idx="1">
                  <c:v>45</c:v>
                </c:pt>
                <c:pt idx="2">
                  <c:v>295</c:v>
                </c:pt>
                <c:pt idx="3">
                  <c:v>-513</c:v>
                </c:pt>
                <c:pt idx="4">
                  <c:v>-378</c:v>
                </c:pt>
                <c:pt idx="5">
                  <c:v>-230</c:v>
                </c:pt>
                <c:pt idx="6">
                  <c:v>23</c:v>
                </c:pt>
                <c:pt idx="7">
                  <c:v>73</c:v>
                </c:pt>
                <c:pt idx="8">
                  <c:v>123</c:v>
                </c:pt>
                <c:pt idx="9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EE-304C-AB42-E8B355A0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080911"/>
        <c:axId val="727163375"/>
      </c:lineChart>
      <c:catAx>
        <c:axId val="4962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96269712"/>
        <c:crosses val="autoZero"/>
        <c:auto val="1"/>
        <c:lblAlgn val="ctr"/>
        <c:lblOffset val="100"/>
        <c:noMultiLvlLbl val="0"/>
      </c:catAx>
      <c:valAx>
        <c:axId val="496269712"/>
        <c:scaling>
          <c:orientation val="minMax"/>
          <c:min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96268000"/>
        <c:crosses val="autoZero"/>
        <c:crossBetween val="between"/>
        <c:majorUnit val="200"/>
      </c:valAx>
      <c:valAx>
        <c:axId val="72716337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12080911"/>
        <c:crosses val="max"/>
        <c:crossBetween val="between"/>
      </c:valAx>
      <c:catAx>
        <c:axId val="712080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71633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84667</xdr:colOff>
      <xdr:row>44</xdr:row>
      <xdr:rowOff>165100</xdr:rowOff>
    </xdr:from>
    <xdr:to>
      <xdr:col>12</xdr:col>
      <xdr:colOff>1049866</xdr:colOff>
      <xdr:row>69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0FE60A5-D403-B5FD-B27B-88E39B8AF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13507</xdr:colOff>
      <xdr:row>18</xdr:row>
      <xdr:rowOff>189288</xdr:rowOff>
    </xdr:from>
    <xdr:to>
      <xdr:col>10</xdr:col>
      <xdr:colOff>1048255</xdr:colOff>
      <xdr:row>34</xdr:row>
      <xdr:rowOff>70552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964E0-3E40-A094-02B0-89FD0A699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23</xdr:row>
      <xdr:rowOff>0</xdr:rowOff>
    </xdr:from>
    <xdr:to>
      <xdr:col>13</xdr:col>
      <xdr:colOff>12700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B22655-C6BD-14B2-2D07-E8AE26BA7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546100</xdr:colOff>
      <xdr:row>26</xdr:row>
      <xdr:rowOff>44450</xdr:rowOff>
    </xdr:from>
    <xdr:to>
      <xdr:col>13</xdr:col>
      <xdr:colOff>38100</xdr:colOff>
      <xdr:row>42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C5F76-8CF3-12F6-F3B9-87FAA440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h Thota" refreshedDate="46006.550958449072" createdVersion="8" refreshedVersion="8" minRefreshableVersion="3" recordCount="9" xr:uid="{3ED40A9F-C803-B24F-9E27-E8CE055B806A}">
  <cacheSource type="worksheet">
    <worksheetSource name="Table3"/>
  </cacheSource>
  <cacheFields count="3">
    <cacheField name="Category_1" numFmtId="0">
      <sharedItems count="2">
        <s v="Student Services"/>
        <s v="Social Media Ads"/>
      </sharedItems>
    </cacheField>
    <cacheField name="Category_11" numFmtId="0">
      <sharedItems count="9">
        <s v="Mentoring Program"/>
        <s v="LinkedIn Profile"/>
        <s v="Interview Prep"/>
        <s v="Resume + LinkedIn Profile"/>
        <s v="Networking Strategy"/>
        <s v="Resume (service fee)"/>
        <s v="LinkedIn"/>
        <s v="X"/>
        <s v="Facebook"/>
      </sharedItems>
    </cacheField>
    <cacheField name="Total Revenue" numFmtId="2">
      <sharedItems containsSemiMixedTypes="0" containsString="0" containsNumber="1" containsInteger="1" minValue="8465" maxValue="467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6706"/>
  </r>
  <r>
    <x v="0"/>
    <x v="1"/>
    <n v="34043"/>
  </r>
  <r>
    <x v="0"/>
    <x v="2"/>
    <n v="20648"/>
  </r>
  <r>
    <x v="0"/>
    <x v="3"/>
    <n v="18051"/>
  </r>
  <r>
    <x v="0"/>
    <x v="4"/>
    <n v="17187"/>
  </r>
  <r>
    <x v="0"/>
    <x v="5"/>
    <n v="8465"/>
  </r>
  <r>
    <x v="1"/>
    <x v="6"/>
    <n v="21842"/>
  </r>
  <r>
    <x v="1"/>
    <x v="7"/>
    <n v="19722"/>
  </r>
  <r>
    <x v="1"/>
    <x v="8"/>
    <n v="179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8F738-437F-3349-B608-98182E9F7A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H29:J41" firstHeaderRow="1" firstDataRow="1" firstDataCol="2"/>
  <pivotFields count="3"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0">
        <item x="8"/>
        <item x="2"/>
        <item x="6"/>
        <item x="1"/>
        <item x="0"/>
        <item x="4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2" outline="0" showAll="0"/>
  </pivotFields>
  <rowFields count="2">
    <field x="0"/>
    <field x="1"/>
  </rowFields>
  <rowItems count="12">
    <i>
      <x v="1"/>
      <x v="4"/>
    </i>
    <i r="1">
      <x v="3"/>
    </i>
    <i r="1">
      <x v="1"/>
    </i>
    <i r="1">
      <x v="7"/>
    </i>
    <i r="1">
      <x v="5"/>
    </i>
    <i r="1">
      <x v="6"/>
    </i>
    <i t="default">
      <x v="1"/>
    </i>
    <i>
      <x/>
      <x v="2"/>
    </i>
    <i r="1">
      <x v="8"/>
    </i>
    <i r="1">
      <x/>
    </i>
    <i t="default">
      <x/>
    </i>
    <i t="grand">
      <x/>
    </i>
  </rowItems>
  <colItems count="1">
    <i/>
  </colItems>
  <dataFields count="1">
    <dataField name="Sum of Total Revenue" fld="2" baseField="0" baseItem="0" numFmtId="2"/>
  </dataFields>
  <formats count="10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field="1" type="button" dataOnly="0" labelOnly="1" outline="0" axis="axisRow" fieldPosition="1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outline="0" fieldPosition="0">
        <references count="1">
          <reference field="0" count="0" defaultSubtotal="1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2">
          <reference field="0" count="1" selected="0">
            <x v="1"/>
          </reference>
          <reference field="1" count="6">
            <x v="1"/>
            <x v="3"/>
            <x v="4"/>
            <x v="5"/>
            <x v="6"/>
            <x v="7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0"/>
          </reference>
          <reference field="1" count="3">
            <x v="0"/>
            <x v="2"/>
            <x v="8"/>
          </reference>
        </references>
      </pivotArea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14455-7172-41FB-AF97-E212CDB33475}" name="Table13" displayName="Table13" ref="A1:G289" totalsRowShown="0">
  <autoFilter ref="A1:G289" xr:uid="{3F07439F-02D9-4B4B-90ED-A9AD326957F5}"/>
  <tableColumns count="7">
    <tableColumn id="1" xr3:uid="{26B2C65E-17B8-48AD-8423-9F3077C6A23B}" name="Date"/>
    <tableColumn id="2" xr3:uid="{E6A6847C-BE80-4616-B40F-869BD12C5866}" name="Month"/>
    <tableColumn id="3" xr3:uid="{6B01BEE1-54B6-4BFE-BD65-2EF59A7D1DBE}" name="City"/>
    <tableColumn id="4" xr3:uid="{3C5DB5CF-1D4A-43BA-B8A7-9A659BFCECA6}" name="Category"/>
    <tableColumn id="5" xr3:uid="{BBC98235-86A8-4133-8F24-E32D942D84D9}" name="Sub-category"/>
    <tableColumn id="6" xr3:uid="{8DDF9091-837B-4190-8C8B-B01121357977}" name="Budgeted Expense"/>
    <tableColumn id="7" xr3:uid="{B6447B22-DD93-4186-995E-63D48661C142}" name="Actual Expense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90DF3-7F48-41E2-B65C-E2676E36846A}" name="Table1" displayName="Table1" ref="A1:H73" totalsRowShown="0">
  <autoFilter ref="A1:H73" xr:uid="{1251212E-7066-479B-BEB8-209BAF841DAA}"/>
  <tableColumns count="8">
    <tableColumn id="1" xr3:uid="{3484D456-A538-48D7-AB3C-9FF88F702721}" name="Date"/>
    <tableColumn id="2" xr3:uid="{C2DCDF24-1988-443C-AC1E-AB33F78BF9C7}" name="Month"/>
    <tableColumn id="3" xr3:uid="{CBD09F14-54A0-4E3F-B302-6C917A498D76}" name="City"/>
    <tableColumn id="4" xr3:uid="{8B0B3790-D0D5-4FE3-94D2-963B1465409B}" name="Category"/>
    <tableColumn id="5" xr3:uid="{6D9084A7-6468-4B1C-A1F5-E600844247F4}" name="Category I"/>
    <tableColumn id="6" xr3:uid="{F615A2A2-5F9C-4671-8ED0-D9BC3E886209}" name="Budgeted Income"/>
    <tableColumn id="7" xr3:uid="{17A44AE7-4660-4550-BCC7-49BF59E1D1CD}" name="Actual Income" dataDxfId="35"/>
    <tableColumn id="10" xr3:uid="{C1154C0A-A41A-40CE-85F1-C3ABB2008339}" name="Cateogry II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259F1A-EB68-EB49-869A-39C0B8456F6C}" name="Table3" displayName="Table3" ref="H15:J24" totalsRowShown="0" headerRowDxfId="23" dataDxfId="22">
  <autoFilter ref="H15:J24" xr:uid="{02259F1A-EB68-EB49-869A-39C0B8456F6C}"/>
  <sortState xmlns:xlrd2="http://schemas.microsoft.com/office/spreadsheetml/2017/richdata2" ref="H16:J24">
    <sortCondition descending="1" ref="H15:H24"/>
  </sortState>
  <tableColumns count="3">
    <tableColumn id="1" xr3:uid="{29BD89D5-EC0D-F94D-A6AC-BC4AFAA09D03}" name="Category_1" dataDxfId="21"/>
    <tableColumn id="2" xr3:uid="{C37D0B71-1454-1C4A-BEDB-8FE9EB250296}" name="Category_11" dataDxfId="20"/>
    <tableColumn id="3" xr3:uid="{8F471BF7-1F15-8C40-A110-7992C9B7F204}" name="Total Revenue" dataDxfId="19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5EB7E0-D5E3-054F-94BD-C215D8BB8E14}" name="Table4" displayName="Table4" ref="G13:J17" totalsRowShown="0" headerRowDxfId="1" dataDxfId="0">
  <autoFilter ref="G13:J17" xr:uid="{415EB7E0-D5E3-054F-94BD-C215D8BB8E14}"/>
  <tableColumns count="4">
    <tableColumn id="1" xr3:uid="{B5A43176-DD8F-5C42-AE87-A12D007E1D3C}" name="Quarter" dataDxfId="5"/>
    <tableColumn id="2" xr3:uid="{21A7CAA5-C98C-3842-841D-B5698884684E}" name="Revenue" dataDxfId="4"/>
    <tableColumn id="3" xr3:uid="{2737AB81-92CE-7E42-A34E-22F8CD11147C}" name="Expense" dataDxfId="3"/>
    <tableColumn id="4" xr3:uid="{0858C765-0458-A84D-843D-B9AA39194B5F}" name="Profit" dataDxfId="2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4322D0-DFB3-D842-8E08-65C2D293E30B}" name="Table5" displayName="Table5" ref="F11:I18" totalsRowShown="0" headerRowDxfId="18" dataDxfId="17">
  <autoFilter ref="F11:I18" xr:uid="{BB4322D0-DFB3-D842-8E08-65C2D293E30B}"/>
  <tableColumns count="4">
    <tableColumn id="1" xr3:uid="{E34FCFF1-F0CC-FB4B-841E-46708D9815BE}" name="Category" dataDxfId="16"/>
    <tableColumn id="2" xr3:uid="{0881A359-D78C-D54F-B066-345D77E3D858}" name="Budget" dataDxfId="15"/>
    <tableColumn id="3" xr3:uid="{6ADD9E46-C80F-C940-9906-7D495F619CA5}" name="Actual" dataDxfId="14"/>
    <tableColumn id="4" xr3:uid="{5E07908A-4865-764E-9A6C-2163E9AF0A7F}" name="Over Spend" dataDxfId="1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775798-09E4-C540-A5C1-FD83E81C2DB3}" name="Table6" displayName="Table6" ref="G14:K24" totalsRowShown="0" headerRowDxfId="12" dataDxfId="11">
  <autoFilter ref="G14:K24" xr:uid="{22775798-09E4-C540-A5C1-FD83E81C2DB3}"/>
  <sortState xmlns:xlrd2="http://schemas.microsoft.com/office/spreadsheetml/2017/richdata2" ref="G15:K24">
    <sortCondition ref="H14:H24"/>
  </sortState>
  <tableColumns count="5">
    <tableColumn id="1" xr3:uid="{E243AB58-482D-6547-8461-13B7E1168BB9}" name="Month" dataDxfId="10"/>
    <tableColumn id="5" xr3:uid="{9B6E4A27-2906-DF4D-8D01-3046309B4985}" name="Month_Number" dataDxfId="6">
      <calculatedColumnFormula>MATCH(Table6[[#This Row],[Month]],
{"January","February","March","April","May","June","July","August","September","October","November","December"},0)</calculatedColumnFormula>
    </tableColumn>
    <tableColumn id="2" xr3:uid="{F90139B5-14B7-1B47-B9C9-5E702DDD68F1}" name="Budget" dataDxfId="9"/>
    <tableColumn id="3" xr3:uid="{B2FCF64F-99B1-1B43-8D95-09DB1A5E1D6E}" name="Actual" dataDxfId="8"/>
    <tableColumn id="4" xr3:uid="{CBE51787-163E-8245-B5E1-94B7C2D6147F}" name="Variance" dataDxfId="7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7226-9511-4083-9358-F7ABB0EA8D5B}">
  <dimension ref="A1:G289"/>
  <sheetViews>
    <sheetView workbookViewId="0">
      <selection activeCell="M12" sqref="M12"/>
    </sheetView>
  </sheetViews>
  <sheetFormatPr baseColWidth="10" defaultColWidth="8.83203125" defaultRowHeight="15"/>
  <cols>
    <col min="4" max="4" width="10.1640625" customWidth="1"/>
    <col min="5" max="5" width="13.83203125" customWidth="1"/>
    <col min="6" max="6" width="18" customWidth="1"/>
    <col min="7" max="7" width="1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</v>
      </c>
      <c r="G2" s="1">
        <v>115.41</v>
      </c>
    </row>
    <row r="3" spans="1:7">
      <c r="A3" t="s">
        <v>7</v>
      </c>
      <c r="B3" t="s">
        <v>8</v>
      </c>
      <c r="C3" t="s">
        <v>12</v>
      </c>
      <c r="D3" t="s">
        <v>10</v>
      </c>
      <c r="E3" t="s">
        <v>11</v>
      </c>
      <c r="F3">
        <v>160</v>
      </c>
      <c r="G3" s="1">
        <v>155.19999999999999</v>
      </c>
    </row>
    <row r="4" spans="1:7">
      <c r="A4" t="s">
        <v>7</v>
      </c>
      <c r="B4" t="s">
        <v>8</v>
      </c>
      <c r="C4" t="s">
        <v>13</v>
      </c>
      <c r="D4" t="s">
        <v>10</v>
      </c>
      <c r="E4" t="s">
        <v>11</v>
      </c>
      <c r="F4">
        <v>120</v>
      </c>
      <c r="G4" s="1">
        <v>121.52</v>
      </c>
    </row>
    <row r="5" spans="1:7">
      <c r="A5" t="s">
        <v>7</v>
      </c>
      <c r="B5" t="s">
        <v>8</v>
      </c>
      <c r="C5" t="s">
        <v>9</v>
      </c>
      <c r="D5" t="s">
        <v>14</v>
      </c>
      <c r="E5" t="s">
        <v>15</v>
      </c>
      <c r="F5">
        <v>135</v>
      </c>
      <c r="G5" s="1">
        <v>133.12</v>
      </c>
    </row>
    <row r="6" spans="1:7">
      <c r="A6" t="s">
        <v>7</v>
      </c>
      <c r="B6" t="s">
        <v>8</v>
      </c>
      <c r="C6" t="s">
        <v>12</v>
      </c>
      <c r="D6" t="s">
        <v>14</v>
      </c>
      <c r="E6" t="s">
        <v>15</v>
      </c>
      <c r="F6">
        <v>180</v>
      </c>
      <c r="G6" s="1">
        <v>188.67</v>
      </c>
    </row>
    <row r="7" spans="1:7">
      <c r="A7" t="s">
        <v>7</v>
      </c>
      <c r="B7" t="s">
        <v>8</v>
      </c>
      <c r="C7" t="s">
        <v>13</v>
      </c>
      <c r="D7" t="s">
        <v>14</v>
      </c>
      <c r="E7" t="s">
        <v>15</v>
      </c>
      <c r="F7">
        <v>135</v>
      </c>
      <c r="G7" s="1">
        <v>132.24</v>
      </c>
    </row>
    <row r="8" spans="1:7">
      <c r="A8" t="s">
        <v>7</v>
      </c>
      <c r="B8" t="s">
        <v>8</v>
      </c>
      <c r="C8" t="s">
        <v>9</v>
      </c>
      <c r="D8" t="s">
        <v>16</v>
      </c>
      <c r="E8" t="s">
        <v>17</v>
      </c>
      <c r="F8">
        <v>135.9</v>
      </c>
      <c r="G8" s="1">
        <v>141.84</v>
      </c>
    </row>
    <row r="9" spans="1:7">
      <c r="A9" t="s">
        <v>7</v>
      </c>
      <c r="B9" t="s">
        <v>8</v>
      </c>
      <c r="C9" t="s">
        <v>12</v>
      </c>
      <c r="D9" t="s">
        <v>16</v>
      </c>
      <c r="E9" t="s">
        <v>17</v>
      </c>
      <c r="F9">
        <v>181.2</v>
      </c>
      <c r="G9" s="1">
        <v>175.58</v>
      </c>
    </row>
    <row r="10" spans="1:7">
      <c r="A10" t="s">
        <v>7</v>
      </c>
      <c r="B10" t="s">
        <v>8</v>
      </c>
      <c r="C10" t="s">
        <v>13</v>
      </c>
      <c r="D10" t="s">
        <v>16</v>
      </c>
      <c r="E10" t="s">
        <v>17</v>
      </c>
      <c r="F10">
        <v>135.9</v>
      </c>
      <c r="G10" s="1">
        <v>142.07</v>
      </c>
    </row>
    <row r="11" spans="1:7">
      <c r="A11" t="s">
        <v>7</v>
      </c>
      <c r="B11" t="s">
        <v>8</v>
      </c>
      <c r="C11" t="s">
        <v>9</v>
      </c>
      <c r="D11" t="s">
        <v>18</v>
      </c>
      <c r="E11" t="s">
        <v>19</v>
      </c>
      <c r="F11">
        <v>70.5</v>
      </c>
      <c r="G11" s="1">
        <v>73.510000000000005</v>
      </c>
    </row>
    <row r="12" spans="1:7">
      <c r="A12" t="s">
        <v>7</v>
      </c>
      <c r="B12" t="s">
        <v>8</v>
      </c>
      <c r="C12" t="s">
        <v>12</v>
      </c>
      <c r="D12" t="s">
        <v>18</v>
      </c>
      <c r="E12" t="s">
        <v>19</v>
      </c>
      <c r="F12">
        <v>94</v>
      </c>
      <c r="G12" s="1">
        <v>91.05</v>
      </c>
    </row>
    <row r="13" spans="1:7">
      <c r="A13" t="s">
        <v>7</v>
      </c>
      <c r="B13" t="s">
        <v>8</v>
      </c>
      <c r="C13" t="s">
        <v>13</v>
      </c>
      <c r="D13" t="s">
        <v>18</v>
      </c>
      <c r="E13" t="s">
        <v>19</v>
      </c>
      <c r="F13">
        <v>70.5</v>
      </c>
      <c r="G13" s="1">
        <v>67.459999999999994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20</v>
      </c>
      <c r="F14">
        <v>135.30000000000001</v>
      </c>
      <c r="G14" s="1">
        <v>132.71</v>
      </c>
    </row>
    <row r="15" spans="1:7">
      <c r="A15" t="s">
        <v>7</v>
      </c>
      <c r="B15" t="s">
        <v>8</v>
      </c>
      <c r="C15" t="s">
        <v>12</v>
      </c>
      <c r="D15" t="s">
        <v>10</v>
      </c>
      <c r="E15" t="s">
        <v>20</v>
      </c>
      <c r="F15">
        <v>180.4</v>
      </c>
      <c r="G15" s="1">
        <v>171.82</v>
      </c>
    </row>
    <row r="16" spans="1:7">
      <c r="A16" t="s">
        <v>7</v>
      </c>
      <c r="B16" t="s">
        <v>8</v>
      </c>
      <c r="C16" t="s">
        <v>13</v>
      </c>
      <c r="D16" t="s">
        <v>10</v>
      </c>
      <c r="E16" t="s">
        <v>20</v>
      </c>
      <c r="F16">
        <v>135.30000000000001</v>
      </c>
      <c r="G16" s="1">
        <v>130.03</v>
      </c>
    </row>
    <row r="17" spans="1:7">
      <c r="A17" t="s">
        <v>7</v>
      </c>
      <c r="B17" t="s">
        <v>8</v>
      </c>
      <c r="C17" t="s">
        <v>9</v>
      </c>
      <c r="D17" t="s">
        <v>21</v>
      </c>
      <c r="E17" t="s">
        <v>22</v>
      </c>
      <c r="F17">
        <v>136.80000000000001</v>
      </c>
      <c r="G17" s="1">
        <v>136.22</v>
      </c>
    </row>
    <row r="18" spans="1:7">
      <c r="A18" t="s">
        <v>7</v>
      </c>
      <c r="B18" t="s">
        <v>8</v>
      </c>
      <c r="C18" t="s">
        <v>12</v>
      </c>
      <c r="D18" t="s">
        <v>21</v>
      </c>
      <c r="E18" t="s">
        <v>22</v>
      </c>
      <c r="F18">
        <v>182.4</v>
      </c>
      <c r="G18" s="1">
        <v>181.39</v>
      </c>
    </row>
    <row r="19" spans="1:7">
      <c r="A19" t="s">
        <v>7</v>
      </c>
      <c r="B19" t="s">
        <v>8</v>
      </c>
      <c r="C19" t="s">
        <v>13</v>
      </c>
      <c r="D19" t="s">
        <v>21</v>
      </c>
      <c r="E19" t="s">
        <v>22</v>
      </c>
      <c r="F19">
        <v>136.80000000000001</v>
      </c>
      <c r="G19" s="1">
        <v>142.27000000000001</v>
      </c>
    </row>
    <row r="20" spans="1:7">
      <c r="A20" t="s">
        <v>7</v>
      </c>
      <c r="B20" t="s">
        <v>8</v>
      </c>
      <c r="C20" t="s">
        <v>9</v>
      </c>
      <c r="D20" t="s">
        <v>23</v>
      </c>
      <c r="E20" t="s">
        <v>24</v>
      </c>
      <c r="F20">
        <v>22.5</v>
      </c>
      <c r="G20" s="1">
        <v>22.14</v>
      </c>
    </row>
    <row r="21" spans="1:7">
      <c r="A21" t="s">
        <v>7</v>
      </c>
      <c r="B21" t="s">
        <v>8</v>
      </c>
      <c r="C21" t="s">
        <v>12</v>
      </c>
      <c r="D21" t="s">
        <v>23</v>
      </c>
      <c r="E21" t="s">
        <v>24</v>
      </c>
      <c r="F21">
        <v>30</v>
      </c>
      <c r="G21" s="1">
        <v>28.51</v>
      </c>
    </row>
    <row r="22" spans="1:7">
      <c r="A22" t="s">
        <v>7</v>
      </c>
      <c r="B22" t="s">
        <v>8</v>
      </c>
      <c r="C22" t="s">
        <v>13</v>
      </c>
      <c r="D22" t="s">
        <v>23</v>
      </c>
      <c r="E22" t="s">
        <v>24</v>
      </c>
      <c r="F22">
        <v>22.5</v>
      </c>
      <c r="G22" s="1">
        <v>22.35</v>
      </c>
    </row>
    <row r="23" spans="1:7">
      <c r="A23" t="s">
        <v>7</v>
      </c>
      <c r="B23" t="s">
        <v>8</v>
      </c>
      <c r="C23" t="s">
        <v>9</v>
      </c>
      <c r="D23" t="s">
        <v>25</v>
      </c>
      <c r="E23" t="s">
        <v>26</v>
      </c>
      <c r="F23">
        <v>1440</v>
      </c>
      <c r="G23" s="1">
        <v>1436.88</v>
      </c>
    </row>
    <row r="24" spans="1:7">
      <c r="A24" t="s">
        <v>7</v>
      </c>
      <c r="B24" t="s">
        <v>8</v>
      </c>
      <c r="C24" t="s">
        <v>12</v>
      </c>
      <c r="D24" t="s">
        <v>25</v>
      </c>
      <c r="E24" t="s">
        <v>26</v>
      </c>
      <c r="F24">
        <v>1920</v>
      </c>
      <c r="G24" s="1">
        <v>1892.21</v>
      </c>
    </row>
    <row r="25" spans="1:7">
      <c r="A25" t="s">
        <v>7</v>
      </c>
      <c r="B25" t="s">
        <v>8</v>
      </c>
      <c r="C25" t="s">
        <v>13</v>
      </c>
      <c r="D25" t="s">
        <v>25</v>
      </c>
      <c r="E25" t="s">
        <v>26</v>
      </c>
      <c r="F25">
        <v>1440</v>
      </c>
      <c r="G25" s="1">
        <v>1442.79</v>
      </c>
    </row>
    <row r="26" spans="1:7">
      <c r="A26" t="s">
        <v>27</v>
      </c>
      <c r="B26" t="s">
        <v>28</v>
      </c>
      <c r="C26" t="s">
        <v>9</v>
      </c>
      <c r="D26" t="s">
        <v>10</v>
      </c>
      <c r="E26" t="s">
        <v>11</v>
      </c>
      <c r="F26">
        <v>120</v>
      </c>
      <c r="G26" s="1">
        <v>121.46</v>
      </c>
    </row>
    <row r="27" spans="1:7">
      <c r="A27" t="s">
        <v>27</v>
      </c>
      <c r="B27" t="s">
        <v>28</v>
      </c>
      <c r="C27" t="s">
        <v>12</v>
      </c>
      <c r="D27" t="s">
        <v>10</v>
      </c>
      <c r="E27" t="s">
        <v>11</v>
      </c>
      <c r="F27">
        <v>160</v>
      </c>
      <c r="G27" s="1">
        <v>153.11000000000001</v>
      </c>
    </row>
    <row r="28" spans="1:7">
      <c r="A28" t="s">
        <v>27</v>
      </c>
      <c r="B28" t="s">
        <v>28</v>
      </c>
      <c r="C28" t="s">
        <v>13</v>
      </c>
      <c r="D28" t="s">
        <v>10</v>
      </c>
      <c r="E28" t="s">
        <v>11</v>
      </c>
      <c r="F28">
        <v>120</v>
      </c>
      <c r="G28" s="1">
        <v>117.86</v>
      </c>
    </row>
    <row r="29" spans="1:7">
      <c r="A29" t="s">
        <v>27</v>
      </c>
      <c r="B29" t="s">
        <v>28</v>
      </c>
      <c r="C29" t="s">
        <v>9</v>
      </c>
      <c r="D29" t="s">
        <v>14</v>
      </c>
      <c r="E29" t="s">
        <v>15</v>
      </c>
      <c r="F29">
        <v>135</v>
      </c>
      <c r="G29" s="1">
        <v>129.82</v>
      </c>
    </row>
    <row r="30" spans="1:7">
      <c r="A30" t="s">
        <v>27</v>
      </c>
      <c r="B30" t="s">
        <v>28</v>
      </c>
      <c r="C30" t="s">
        <v>12</v>
      </c>
      <c r="D30" t="s">
        <v>14</v>
      </c>
      <c r="E30" t="s">
        <v>15</v>
      </c>
      <c r="F30">
        <v>180</v>
      </c>
      <c r="G30" s="1">
        <v>185.92</v>
      </c>
    </row>
    <row r="31" spans="1:7">
      <c r="A31" t="s">
        <v>27</v>
      </c>
      <c r="B31" t="s">
        <v>28</v>
      </c>
      <c r="C31" t="s">
        <v>13</v>
      </c>
      <c r="D31" t="s">
        <v>14</v>
      </c>
      <c r="E31" t="s">
        <v>15</v>
      </c>
      <c r="F31">
        <v>135</v>
      </c>
      <c r="G31" s="1">
        <v>136.84</v>
      </c>
    </row>
    <row r="32" spans="1:7">
      <c r="A32" t="s">
        <v>27</v>
      </c>
      <c r="B32" t="s">
        <v>28</v>
      </c>
      <c r="C32" t="s">
        <v>9</v>
      </c>
      <c r="D32" t="s">
        <v>16</v>
      </c>
      <c r="E32" t="s">
        <v>17</v>
      </c>
      <c r="F32">
        <v>135.9</v>
      </c>
      <c r="G32" s="1">
        <v>142.5</v>
      </c>
    </row>
    <row r="33" spans="1:7">
      <c r="A33" t="s">
        <v>27</v>
      </c>
      <c r="B33" t="s">
        <v>28</v>
      </c>
      <c r="C33" t="s">
        <v>12</v>
      </c>
      <c r="D33" t="s">
        <v>16</v>
      </c>
      <c r="E33" t="s">
        <v>17</v>
      </c>
      <c r="F33">
        <v>181.2</v>
      </c>
      <c r="G33" s="1">
        <v>183.61</v>
      </c>
    </row>
    <row r="34" spans="1:7">
      <c r="A34" t="s">
        <v>27</v>
      </c>
      <c r="B34" t="s">
        <v>28</v>
      </c>
      <c r="C34" t="s">
        <v>13</v>
      </c>
      <c r="D34" t="s">
        <v>16</v>
      </c>
      <c r="E34" t="s">
        <v>17</v>
      </c>
      <c r="F34">
        <v>135.9</v>
      </c>
      <c r="G34" s="1">
        <v>136.97999999999999</v>
      </c>
    </row>
    <row r="35" spans="1:7">
      <c r="A35" t="s">
        <v>27</v>
      </c>
      <c r="B35" t="s">
        <v>28</v>
      </c>
      <c r="C35" t="s">
        <v>9</v>
      </c>
      <c r="D35" t="s">
        <v>18</v>
      </c>
      <c r="E35" t="s">
        <v>19</v>
      </c>
      <c r="F35">
        <v>70.5</v>
      </c>
      <c r="G35" s="1">
        <v>72.709999999999994</v>
      </c>
    </row>
    <row r="36" spans="1:7">
      <c r="A36" t="s">
        <v>27</v>
      </c>
      <c r="B36" t="s">
        <v>28</v>
      </c>
      <c r="C36" t="s">
        <v>12</v>
      </c>
      <c r="D36" t="s">
        <v>18</v>
      </c>
      <c r="E36" t="s">
        <v>19</v>
      </c>
      <c r="F36">
        <v>94</v>
      </c>
      <c r="G36" s="1">
        <v>91.29</v>
      </c>
    </row>
    <row r="37" spans="1:7">
      <c r="A37" t="s">
        <v>27</v>
      </c>
      <c r="B37" t="s">
        <v>28</v>
      </c>
      <c r="C37" t="s">
        <v>13</v>
      </c>
      <c r="D37" t="s">
        <v>18</v>
      </c>
      <c r="E37" t="s">
        <v>19</v>
      </c>
      <c r="F37">
        <v>70.5</v>
      </c>
      <c r="G37" s="1">
        <v>71.319999999999993</v>
      </c>
    </row>
    <row r="38" spans="1:7">
      <c r="A38" t="s">
        <v>27</v>
      </c>
      <c r="B38" t="s">
        <v>28</v>
      </c>
      <c r="C38" t="s">
        <v>9</v>
      </c>
      <c r="D38" t="s">
        <v>10</v>
      </c>
      <c r="E38" t="s">
        <v>20</v>
      </c>
      <c r="F38">
        <v>135.30000000000001</v>
      </c>
      <c r="G38" s="1">
        <v>134.58000000000001</v>
      </c>
    </row>
    <row r="39" spans="1:7">
      <c r="A39" t="s">
        <v>27</v>
      </c>
      <c r="B39" t="s">
        <v>28</v>
      </c>
      <c r="C39" t="s">
        <v>12</v>
      </c>
      <c r="D39" t="s">
        <v>10</v>
      </c>
      <c r="E39" t="s">
        <v>20</v>
      </c>
      <c r="F39">
        <v>180.4</v>
      </c>
      <c r="G39" s="1">
        <v>180.81</v>
      </c>
    </row>
    <row r="40" spans="1:7">
      <c r="A40" t="s">
        <v>27</v>
      </c>
      <c r="B40" t="s">
        <v>28</v>
      </c>
      <c r="C40" t="s">
        <v>13</v>
      </c>
      <c r="D40" t="s">
        <v>10</v>
      </c>
      <c r="E40" t="s">
        <v>20</v>
      </c>
      <c r="F40">
        <v>135.30000000000001</v>
      </c>
      <c r="G40" s="1">
        <v>138.22</v>
      </c>
    </row>
    <row r="41" spans="1:7">
      <c r="A41" t="s">
        <v>27</v>
      </c>
      <c r="B41" t="s">
        <v>28</v>
      </c>
      <c r="C41" t="s">
        <v>9</v>
      </c>
      <c r="D41" t="s">
        <v>21</v>
      </c>
      <c r="E41" t="s">
        <v>22</v>
      </c>
      <c r="F41">
        <v>136.80000000000001</v>
      </c>
      <c r="G41" s="1">
        <v>139.04</v>
      </c>
    </row>
    <row r="42" spans="1:7">
      <c r="A42" t="s">
        <v>27</v>
      </c>
      <c r="B42" t="s">
        <v>28</v>
      </c>
      <c r="C42" t="s">
        <v>12</v>
      </c>
      <c r="D42" t="s">
        <v>21</v>
      </c>
      <c r="E42" t="s">
        <v>22</v>
      </c>
      <c r="F42">
        <v>182.4</v>
      </c>
      <c r="G42" s="1">
        <v>181.17</v>
      </c>
    </row>
    <row r="43" spans="1:7">
      <c r="A43" t="s">
        <v>27</v>
      </c>
      <c r="B43" t="s">
        <v>28</v>
      </c>
      <c r="C43" t="s">
        <v>13</v>
      </c>
      <c r="D43" t="s">
        <v>21</v>
      </c>
      <c r="E43" t="s">
        <v>22</v>
      </c>
      <c r="F43">
        <v>136.80000000000001</v>
      </c>
      <c r="G43" s="1">
        <v>138.57</v>
      </c>
    </row>
    <row r="44" spans="1:7">
      <c r="A44" t="s">
        <v>27</v>
      </c>
      <c r="B44" t="s">
        <v>28</v>
      </c>
      <c r="C44" t="s">
        <v>9</v>
      </c>
      <c r="D44" t="s">
        <v>23</v>
      </c>
      <c r="E44" t="s">
        <v>24</v>
      </c>
      <c r="F44">
        <v>22.5</v>
      </c>
      <c r="G44" s="1">
        <v>22.23</v>
      </c>
    </row>
    <row r="45" spans="1:7">
      <c r="A45" t="s">
        <v>27</v>
      </c>
      <c r="B45" t="s">
        <v>28</v>
      </c>
      <c r="C45" t="s">
        <v>12</v>
      </c>
      <c r="D45" t="s">
        <v>23</v>
      </c>
      <c r="E45" t="s">
        <v>24</v>
      </c>
      <c r="F45">
        <v>30</v>
      </c>
      <c r="G45" s="1">
        <v>29.34</v>
      </c>
    </row>
    <row r="46" spans="1:7">
      <c r="A46" t="s">
        <v>27</v>
      </c>
      <c r="B46" t="s">
        <v>28</v>
      </c>
      <c r="C46" t="s">
        <v>13</v>
      </c>
      <c r="D46" t="s">
        <v>23</v>
      </c>
      <c r="E46" t="s">
        <v>24</v>
      </c>
      <c r="F46">
        <v>22.5</v>
      </c>
      <c r="G46" s="1">
        <v>23.5</v>
      </c>
    </row>
    <row r="47" spans="1:7">
      <c r="A47" t="s">
        <v>27</v>
      </c>
      <c r="B47" t="s">
        <v>28</v>
      </c>
      <c r="C47" t="s">
        <v>9</v>
      </c>
      <c r="D47" t="s">
        <v>25</v>
      </c>
      <c r="E47" t="s">
        <v>26</v>
      </c>
      <c r="F47">
        <v>1440</v>
      </c>
      <c r="G47" s="1">
        <v>1476.86</v>
      </c>
    </row>
    <row r="48" spans="1:7">
      <c r="A48" t="s">
        <v>27</v>
      </c>
      <c r="B48" t="s">
        <v>28</v>
      </c>
      <c r="C48" t="s">
        <v>12</v>
      </c>
      <c r="D48" t="s">
        <v>25</v>
      </c>
      <c r="E48" t="s">
        <v>26</v>
      </c>
      <c r="F48">
        <v>1920</v>
      </c>
      <c r="G48" s="1">
        <v>1985.53</v>
      </c>
    </row>
    <row r="49" spans="1:7">
      <c r="A49" t="s">
        <v>27</v>
      </c>
      <c r="B49" t="s">
        <v>28</v>
      </c>
      <c r="C49" t="s">
        <v>13</v>
      </c>
      <c r="D49" t="s">
        <v>25</v>
      </c>
      <c r="E49" t="s">
        <v>26</v>
      </c>
      <c r="F49">
        <v>1440</v>
      </c>
      <c r="G49" s="1">
        <v>1501.12</v>
      </c>
    </row>
    <row r="50" spans="1:7">
      <c r="A50" t="s">
        <v>29</v>
      </c>
      <c r="B50" t="s">
        <v>30</v>
      </c>
      <c r="C50" t="s">
        <v>9</v>
      </c>
      <c r="D50" t="s">
        <v>10</v>
      </c>
      <c r="E50" t="s">
        <v>11</v>
      </c>
      <c r="F50">
        <v>120</v>
      </c>
      <c r="G50" s="1">
        <v>124.59</v>
      </c>
    </row>
    <row r="51" spans="1:7">
      <c r="A51" t="s">
        <v>29</v>
      </c>
      <c r="B51" t="s">
        <v>30</v>
      </c>
      <c r="C51" t="s">
        <v>12</v>
      </c>
      <c r="D51" t="s">
        <v>10</v>
      </c>
      <c r="E51" t="s">
        <v>11</v>
      </c>
      <c r="F51">
        <v>160</v>
      </c>
      <c r="G51" s="1">
        <v>166.84</v>
      </c>
    </row>
    <row r="52" spans="1:7">
      <c r="A52" t="s">
        <v>29</v>
      </c>
      <c r="B52" t="s">
        <v>30</v>
      </c>
      <c r="C52" t="s">
        <v>13</v>
      </c>
      <c r="D52" t="s">
        <v>10</v>
      </c>
      <c r="E52" t="s">
        <v>11</v>
      </c>
      <c r="F52">
        <v>120</v>
      </c>
      <c r="G52" s="1">
        <v>120.3</v>
      </c>
    </row>
    <row r="53" spans="1:7">
      <c r="A53" t="s">
        <v>29</v>
      </c>
      <c r="B53" t="s">
        <v>30</v>
      </c>
      <c r="C53" t="s">
        <v>9</v>
      </c>
      <c r="D53" t="s">
        <v>14</v>
      </c>
      <c r="E53" t="s">
        <v>15</v>
      </c>
      <c r="F53">
        <v>135</v>
      </c>
      <c r="G53" s="1">
        <v>131.91</v>
      </c>
    </row>
    <row r="54" spans="1:7">
      <c r="A54" t="s">
        <v>29</v>
      </c>
      <c r="B54" t="s">
        <v>30</v>
      </c>
      <c r="C54" t="s">
        <v>12</v>
      </c>
      <c r="D54" t="s">
        <v>14</v>
      </c>
      <c r="E54" t="s">
        <v>15</v>
      </c>
      <c r="F54">
        <v>180</v>
      </c>
      <c r="G54" s="1">
        <v>174.74</v>
      </c>
    </row>
    <row r="55" spans="1:7">
      <c r="A55" t="s">
        <v>29</v>
      </c>
      <c r="B55" t="s">
        <v>30</v>
      </c>
      <c r="C55" t="s">
        <v>13</v>
      </c>
      <c r="D55" t="s">
        <v>14</v>
      </c>
      <c r="E55" t="s">
        <v>15</v>
      </c>
      <c r="F55">
        <v>135</v>
      </c>
      <c r="G55" s="1">
        <v>130.03</v>
      </c>
    </row>
    <row r="56" spans="1:7">
      <c r="A56" t="s">
        <v>29</v>
      </c>
      <c r="B56" t="s">
        <v>30</v>
      </c>
      <c r="C56" t="s">
        <v>9</v>
      </c>
      <c r="D56" t="s">
        <v>16</v>
      </c>
      <c r="E56" t="s">
        <v>17</v>
      </c>
      <c r="F56">
        <v>135.9</v>
      </c>
      <c r="G56" s="1">
        <v>140.5</v>
      </c>
    </row>
    <row r="57" spans="1:7">
      <c r="A57" t="s">
        <v>29</v>
      </c>
      <c r="B57" t="s">
        <v>30</v>
      </c>
      <c r="C57" t="s">
        <v>12</v>
      </c>
      <c r="D57" t="s">
        <v>16</v>
      </c>
      <c r="E57" t="s">
        <v>17</v>
      </c>
      <c r="F57">
        <v>181.2</v>
      </c>
      <c r="G57" s="1">
        <v>185.19</v>
      </c>
    </row>
    <row r="58" spans="1:7">
      <c r="A58" t="s">
        <v>29</v>
      </c>
      <c r="B58" t="s">
        <v>30</v>
      </c>
      <c r="C58" t="s">
        <v>13</v>
      </c>
      <c r="D58" t="s">
        <v>16</v>
      </c>
      <c r="E58" t="s">
        <v>17</v>
      </c>
      <c r="F58">
        <v>135.9</v>
      </c>
      <c r="G58" s="1">
        <v>134.15</v>
      </c>
    </row>
    <row r="59" spans="1:7">
      <c r="A59" t="s">
        <v>29</v>
      </c>
      <c r="B59" t="s">
        <v>30</v>
      </c>
      <c r="C59" t="s">
        <v>9</v>
      </c>
      <c r="D59" t="s">
        <v>18</v>
      </c>
      <c r="E59" t="s">
        <v>19</v>
      </c>
      <c r="F59">
        <v>70.5</v>
      </c>
      <c r="G59" s="1">
        <v>73.05</v>
      </c>
    </row>
    <row r="60" spans="1:7">
      <c r="A60" t="s">
        <v>29</v>
      </c>
      <c r="B60" t="s">
        <v>30</v>
      </c>
      <c r="C60" t="s">
        <v>12</v>
      </c>
      <c r="D60" t="s">
        <v>18</v>
      </c>
      <c r="E60" t="s">
        <v>19</v>
      </c>
      <c r="F60">
        <v>94</v>
      </c>
      <c r="G60" s="1">
        <v>95.02</v>
      </c>
    </row>
    <row r="61" spans="1:7">
      <c r="A61" t="s">
        <v>29</v>
      </c>
      <c r="B61" t="s">
        <v>30</v>
      </c>
      <c r="C61" t="s">
        <v>13</v>
      </c>
      <c r="D61" t="s">
        <v>18</v>
      </c>
      <c r="E61" t="s">
        <v>19</v>
      </c>
      <c r="F61">
        <v>70.5</v>
      </c>
      <c r="G61" s="1">
        <v>69.63</v>
      </c>
    </row>
    <row r="62" spans="1:7">
      <c r="A62" t="s">
        <v>29</v>
      </c>
      <c r="B62" t="s">
        <v>30</v>
      </c>
      <c r="C62" t="s">
        <v>9</v>
      </c>
      <c r="D62" t="s">
        <v>10</v>
      </c>
      <c r="E62" t="s">
        <v>20</v>
      </c>
      <c r="F62">
        <v>135.30000000000001</v>
      </c>
      <c r="G62" s="1">
        <v>137.99</v>
      </c>
    </row>
    <row r="63" spans="1:7">
      <c r="A63" t="s">
        <v>29</v>
      </c>
      <c r="B63" t="s">
        <v>30</v>
      </c>
      <c r="C63" t="s">
        <v>12</v>
      </c>
      <c r="D63" t="s">
        <v>10</v>
      </c>
      <c r="E63" t="s">
        <v>20</v>
      </c>
      <c r="F63">
        <v>180.4</v>
      </c>
      <c r="G63" s="1">
        <v>176.07</v>
      </c>
    </row>
    <row r="64" spans="1:7">
      <c r="A64" t="s">
        <v>29</v>
      </c>
      <c r="B64" t="s">
        <v>30</v>
      </c>
      <c r="C64" t="s">
        <v>13</v>
      </c>
      <c r="D64" t="s">
        <v>10</v>
      </c>
      <c r="E64" t="s">
        <v>20</v>
      </c>
      <c r="F64">
        <v>135.30000000000001</v>
      </c>
      <c r="G64" s="1">
        <v>138.16999999999999</v>
      </c>
    </row>
    <row r="65" spans="1:7">
      <c r="A65" t="s">
        <v>29</v>
      </c>
      <c r="B65" t="s">
        <v>30</v>
      </c>
      <c r="C65" t="s">
        <v>9</v>
      </c>
      <c r="D65" t="s">
        <v>21</v>
      </c>
      <c r="E65" t="s">
        <v>22</v>
      </c>
      <c r="F65">
        <v>136.80000000000001</v>
      </c>
      <c r="G65" s="1">
        <v>129.97999999999999</v>
      </c>
    </row>
    <row r="66" spans="1:7">
      <c r="A66" t="s">
        <v>29</v>
      </c>
      <c r="B66" t="s">
        <v>30</v>
      </c>
      <c r="C66" t="s">
        <v>12</v>
      </c>
      <c r="D66" t="s">
        <v>21</v>
      </c>
      <c r="E66" t="s">
        <v>22</v>
      </c>
      <c r="F66">
        <v>182.4</v>
      </c>
      <c r="G66" s="1">
        <v>185.28</v>
      </c>
    </row>
    <row r="67" spans="1:7">
      <c r="A67" t="s">
        <v>29</v>
      </c>
      <c r="B67" t="s">
        <v>30</v>
      </c>
      <c r="C67" t="s">
        <v>13</v>
      </c>
      <c r="D67" t="s">
        <v>21</v>
      </c>
      <c r="E67" t="s">
        <v>22</v>
      </c>
      <c r="F67">
        <v>136.80000000000001</v>
      </c>
      <c r="G67" s="1">
        <v>142.36000000000001</v>
      </c>
    </row>
    <row r="68" spans="1:7">
      <c r="A68" t="s">
        <v>29</v>
      </c>
      <c r="B68" t="s">
        <v>30</v>
      </c>
      <c r="C68" t="s">
        <v>9</v>
      </c>
      <c r="D68" t="s">
        <v>23</v>
      </c>
      <c r="E68" t="s">
        <v>24</v>
      </c>
      <c r="F68">
        <v>22.5</v>
      </c>
      <c r="G68" s="1">
        <v>22.34</v>
      </c>
    </row>
    <row r="69" spans="1:7">
      <c r="A69" t="s">
        <v>29</v>
      </c>
      <c r="B69" t="s">
        <v>30</v>
      </c>
      <c r="C69" t="s">
        <v>12</v>
      </c>
      <c r="D69" t="s">
        <v>23</v>
      </c>
      <c r="E69" t="s">
        <v>24</v>
      </c>
      <c r="F69">
        <v>30</v>
      </c>
      <c r="G69" s="1">
        <v>31.16</v>
      </c>
    </row>
    <row r="70" spans="1:7">
      <c r="A70" t="s">
        <v>29</v>
      </c>
      <c r="B70" t="s">
        <v>30</v>
      </c>
      <c r="C70" t="s">
        <v>13</v>
      </c>
      <c r="D70" t="s">
        <v>23</v>
      </c>
      <c r="E70" t="s">
        <v>24</v>
      </c>
      <c r="F70">
        <v>22.5</v>
      </c>
      <c r="G70" s="1">
        <v>21.59</v>
      </c>
    </row>
    <row r="71" spans="1:7">
      <c r="A71" t="s">
        <v>29</v>
      </c>
      <c r="B71" t="s">
        <v>30</v>
      </c>
      <c r="C71" t="s">
        <v>9</v>
      </c>
      <c r="D71" t="s">
        <v>25</v>
      </c>
      <c r="E71" t="s">
        <v>26</v>
      </c>
      <c r="F71">
        <v>1440</v>
      </c>
      <c r="G71" s="1">
        <v>1487.05</v>
      </c>
    </row>
    <row r="72" spans="1:7">
      <c r="A72" t="s">
        <v>29</v>
      </c>
      <c r="B72" t="s">
        <v>30</v>
      </c>
      <c r="C72" t="s">
        <v>12</v>
      </c>
      <c r="D72" t="s">
        <v>25</v>
      </c>
      <c r="E72" t="s">
        <v>26</v>
      </c>
      <c r="F72">
        <v>1920</v>
      </c>
      <c r="G72" s="1">
        <v>1829.24</v>
      </c>
    </row>
    <row r="73" spans="1:7">
      <c r="A73" t="s">
        <v>29</v>
      </c>
      <c r="B73" t="s">
        <v>30</v>
      </c>
      <c r="C73" t="s">
        <v>13</v>
      </c>
      <c r="D73" t="s">
        <v>25</v>
      </c>
      <c r="E73" t="s">
        <v>26</v>
      </c>
      <c r="F73">
        <v>1440</v>
      </c>
      <c r="G73" s="1">
        <v>1385.48</v>
      </c>
    </row>
    <row r="74" spans="1:7">
      <c r="A74" t="s">
        <v>31</v>
      </c>
      <c r="B74" t="s">
        <v>32</v>
      </c>
      <c r="C74" t="s">
        <v>9</v>
      </c>
      <c r="D74" t="s">
        <v>10</v>
      </c>
      <c r="E74" t="s">
        <v>11</v>
      </c>
      <c r="F74">
        <v>120</v>
      </c>
      <c r="G74" s="1">
        <v>121.3</v>
      </c>
    </row>
    <row r="75" spans="1:7">
      <c r="A75" t="s">
        <v>31</v>
      </c>
      <c r="B75" t="s">
        <v>32</v>
      </c>
      <c r="C75" t="s">
        <v>12</v>
      </c>
      <c r="D75" t="s">
        <v>10</v>
      </c>
      <c r="E75" t="s">
        <v>11</v>
      </c>
      <c r="F75">
        <v>160</v>
      </c>
      <c r="G75" s="1">
        <v>163.47</v>
      </c>
    </row>
    <row r="76" spans="1:7">
      <c r="A76" t="s">
        <v>31</v>
      </c>
      <c r="B76" t="s">
        <v>32</v>
      </c>
      <c r="C76" t="s">
        <v>13</v>
      </c>
      <c r="D76" t="s">
        <v>10</v>
      </c>
      <c r="E76" t="s">
        <v>11</v>
      </c>
      <c r="F76">
        <v>120</v>
      </c>
      <c r="G76" s="1">
        <v>119.74</v>
      </c>
    </row>
    <row r="77" spans="1:7">
      <c r="A77" t="s">
        <v>31</v>
      </c>
      <c r="B77" t="s">
        <v>32</v>
      </c>
      <c r="C77" t="s">
        <v>9</v>
      </c>
      <c r="D77" t="s">
        <v>14</v>
      </c>
      <c r="E77" t="s">
        <v>15</v>
      </c>
      <c r="F77">
        <v>135</v>
      </c>
      <c r="G77" s="1">
        <v>137.41</v>
      </c>
    </row>
    <row r="78" spans="1:7">
      <c r="A78" t="s">
        <v>31</v>
      </c>
      <c r="B78" t="s">
        <v>32</v>
      </c>
      <c r="C78" t="s">
        <v>12</v>
      </c>
      <c r="D78" t="s">
        <v>14</v>
      </c>
      <c r="E78" t="s">
        <v>15</v>
      </c>
      <c r="F78">
        <v>180</v>
      </c>
      <c r="G78" s="1">
        <v>178.45</v>
      </c>
    </row>
    <row r="79" spans="1:7">
      <c r="A79" t="s">
        <v>31</v>
      </c>
      <c r="B79" t="s">
        <v>32</v>
      </c>
      <c r="C79" t="s">
        <v>13</v>
      </c>
      <c r="D79" t="s">
        <v>14</v>
      </c>
      <c r="E79" t="s">
        <v>15</v>
      </c>
      <c r="F79">
        <v>135</v>
      </c>
      <c r="G79" s="1">
        <v>138.01</v>
      </c>
    </row>
    <row r="80" spans="1:7">
      <c r="A80" t="s">
        <v>31</v>
      </c>
      <c r="B80" t="s">
        <v>32</v>
      </c>
      <c r="C80" t="s">
        <v>9</v>
      </c>
      <c r="D80" t="s">
        <v>16</v>
      </c>
      <c r="E80" t="s">
        <v>17</v>
      </c>
      <c r="F80">
        <v>135.9</v>
      </c>
      <c r="G80" s="1">
        <v>139.66999999999999</v>
      </c>
    </row>
    <row r="81" spans="1:7">
      <c r="A81" t="s">
        <v>31</v>
      </c>
      <c r="B81" t="s">
        <v>32</v>
      </c>
      <c r="C81" t="s">
        <v>12</v>
      </c>
      <c r="D81" t="s">
        <v>16</v>
      </c>
      <c r="E81" t="s">
        <v>17</v>
      </c>
      <c r="F81">
        <v>181.2</v>
      </c>
      <c r="G81" s="1">
        <v>180.78</v>
      </c>
    </row>
    <row r="82" spans="1:7">
      <c r="A82" t="s">
        <v>31</v>
      </c>
      <c r="B82" t="s">
        <v>32</v>
      </c>
      <c r="C82" t="s">
        <v>13</v>
      </c>
      <c r="D82" t="s">
        <v>16</v>
      </c>
      <c r="E82" t="s">
        <v>17</v>
      </c>
      <c r="F82">
        <v>135.9</v>
      </c>
      <c r="G82" s="1">
        <v>139.15</v>
      </c>
    </row>
    <row r="83" spans="1:7">
      <c r="A83" t="s">
        <v>31</v>
      </c>
      <c r="B83" t="s">
        <v>32</v>
      </c>
      <c r="C83" t="s">
        <v>9</v>
      </c>
      <c r="D83" t="s">
        <v>18</v>
      </c>
      <c r="E83" t="s">
        <v>19</v>
      </c>
      <c r="F83">
        <v>70.5</v>
      </c>
      <c r="G83" s="1">
        <v>67.34</v>
      </c>
    </row>
    <row r="84" spans="1:7">
      <c r="A84" t="s">
        <v>31</v>
      </c>
      <c r="B84" t="s">
        <v>32</v>
      </c>
      <c r="C84" t="s">
        <v>12</v>
      </c>
      <c r="D84" t="s">
        <v>18</v>
      </c>
      <c r="E84" t="s">
        <v>19</v>
      </c>
      <c r="F84">
        <v>94</v>
      </c>
      <c r="G84" s="1">
        <v>90.16</v>
      </c>
    </row>
    <row r="85" spans="1:7">
      <c r="A85" t="s">
        <v>31</v>
      </c>
      <c r="B85" t="s">
        <v>32</v>
      </c>
      <c r="C85" t="s">
        <v>13</v>
      </c>
      <c r="D85" t="s">
        <v>18</v>
      </c>
      <c r="E85" t="s">
        <v>19</v>
      </c>
      <c r="F85">
        <v>70.5</v>
      </c>
      <c r="G85" s="1">
        <v>67.25</v>
      </c>
    </row>
    <row r="86" spans="1:7">
      <c r="A86" t="s">
        <v>31</v>
      </c>
      <c r="B86" t="s">
        <v>32</v>
      </c>
      <c r="C86" t="s">
        <v>9</v>
      </c>
      <c r="D86" t="s">
        <v>10</v>
      </c>
      <c r="E86" t="s">
        <v>20</v>
      </c>
      <c r="F86">
        <v>135.30000000000001</v>
      </c>
      <c r="G86" s="1">
        <v>138.27000000000001</v>
      </c>
    </row>
    <row r="87" spans="1:7">
      <c r="A87" t="s">
        <v>31</v>
      </c>
      <c r="B87" t="s">
        <v>32</v>
      </c>
      <c r="C87" t="s">
        <v>12</v>
      </c>
      <c r="D87" t="s">
        <v>10</v>
      </c>
      <c r="E87" t="s">
        <v>20</v>
      </c>
      <c r="F87">
        <v>180.4</v>
      </c>
      <c r="G87" s="1">
        <v>187.74</v>
      </c>
    </row>
    <row r="88" spans="1:7">
      <c r="A88" t="s">
        <v>31</v>
      </c>
      <c r="B88" t="s">
        <v>32</v>
      </c>
      <c r="C88" t="s">
        <v>13</v>
      </c>
      <c r="D88" t="s">
        <v>10</v>
      </c>
      <c r="E88" t="s">
        <v>20</v>
      </c>
      <c r="F88">
        <v>135.30000000000001</v>
      </c>
      <c r="G88" s="1">
        <v>132.91999999999999</v>
      </c>
    </row>
    <row r="89" spans="1:7">
      <c r="A89" t="s">
        <v>31</v>
      </c>
      <c r="B89" t="s">
        <v>32</v>
      </c>
      <c r="C89" t="s">
        <v>9</v>
      </c>
      <c r="D89" t="s">
        <v>21</v>
      </c>
      <c r="E89" t="s">
        <v>22</v>
      </c>
      <c r="F89">
        <v>136.80000000000001</v>
      </c>
      <c r="G89" s="1">
        <v>142.74</v>
      </c>
    </row>
    <row r="90" spans="1:7">
      <c r="A90" t="s">
        <v>31</v>
      </c>
      <c r="B90" t="s">
        <v>32</v>
      </c>
      <c r="C90" t="s">
        <v>12</v>
      </c>
      <c r="D90" t="s">
        <v>21</v>
      </c>
      <c r="E90" t="s">
        <v>22</v>
      </c>
      <c r="F90">
        <v>182.4</v>
      </c>
      <c r="G90" s="1">
        <v>183.89</v>
      </c>
    </row>
    <row r="91" spans="1:7">
      <c r="A91" t="s">
        <v>31</v>
      </c>
      <c r="B91" t="s">
        <v>32</v>
      </c>
      <c r="C91" t="s">
        <v>13</v>
      </c>
      <c r="D91" t="s">
        <v>21</v>
      </c>
      <c r="E91" t="s">
        <v>22</v>
      </c>
      <c r="F91">
        <v>136.80000000000001</v>
      </c>
      <c r="G91" s="1">
        <v>141.41</v>
      </c>
    </row>
    <row r="92" spans="1:7">
      <c r="A92" t="s">
        <v>31</v>
      </c>
      <c r="B92" t="s">
        <v>32</v>
      </c>
      <c r="C92" t="s">
        <v>9</v>
      </c>
      <c r="D92" t="s">
        <v>23</v>
      </c>
      <c r="E92" t="s">
        <v>24</v>
      </c>
      <c r="F92">
        <v>22.5</v>
      </c>
      <c r="G92" s="1">
        <v>21.84</v>
      </c>
    </row>
    <row r="93" spans="1:7">
      <c r="A93" t="s">
        <v>31</v>
      </c>
      <c r="B93" t="s">
        <v>32</v>
      </c>
      <c r="C93" t="s">
        <v>12</v>
      </c>
      <c r="D93" t="s">
        <v>23</v>
      </c>
      <c r="E93" t="s">
        <v>24</v>
      </c>
      <c r="F93">
        <v>30</v>
      </c>
      <c r="G93" s="1">
        <v>30.27</v>
      </c>
    </row>
    <row r="94" spans="1:7">
      <c r="A94" t="s">
        <v>31</v>
      </c>
      <c r="B94" t="s">
        <v>32</v>
      </c>
      <c r="C94" t="s">
        <v>13</v>
      </c>
      <c r="D94" t="s">
        <v>23</v>
      </c>
      <c r="E94" t="s">
        <v>24</v>
      </c>
      <c r="F94">
        <v>22.5</v>
      </c>
      <c r="G94" s="1">
        <v>22.73</v>
      </c>
    </row>
    <row r="95" spans="1:7">
      <c r="A95" t="s">
        <v>31</v>
      </c>
      <c r="B95" t="s">
        <v>32</v>
      </c>
      <c r="C95" t="s">
        <v>9</v>
      </c>
      <c r="D95" t="s">
        <v>25</v>
      </c>
      <c r="E95" t="s">
        <v>26</v>
      </c>
      <c r="F95">
        <v>1440</v>
      </c>
      <c r="G95" s="1">
        <v>1509.75</v>
      </c>
    </row>
    <row r="96" spans="1:7">
      <c r="A96" t="s">
        <v>31</v>
      </c>
      <c r="B96" t="s">
        <v>32</v>
      </c>
      <c r="C96" t="s">
        <v>12</v>
      </c>
      <c r="D96" t="s">
        <v>25</v>
      </c>
      <c r="E96" t="s">
        <v>26</v>
      </c>
      <c r="F96">
        <v>1920</v>
      </c>
      <c r="G96" s="1">
        <v>1893.63</v>
      </c>
    </row>
    <row r="97" spans="1:7">
      <c r="A97" t="s">
        <v>31</v>
      </c>
      <c r="B97" t="s">
        <v>32</v>
      </c>
      <c r="C97" t="s">
        <v>13</v>
      </c>
      <c r="D97" t="s">
        <v>25</v>
      </c>
      <c r="E97" t="s">
        <v>26</v>
      </c>
      <c r="F97">
        <v>1440</v>
      </c>
      <c r="G97" s="1">
        <v>1414.02</v>
      </c>
    </row>
    <row r="98" spans="1:7">
      <c r="A98" t="s">
        <v>33</v>
      </c>
      <c r="B98" t="s">
        <v>34</v>
      </c>
      <c r="C98" t="s">
        <v>9</v>
      </c>
      <c r="D98" t="s">
        <v>10</v>
      </c>
      <c r="E98" t="s">
        <v>11</v>
      </c>
      <c r="F98">
        <v>120</v>
      </c>
      <c r="G98" s="1">
        <v>120.5</v>
      </c>
    </row>
    <row r="99" spans="1:7">
      <c r="A99" t="s">
        <v>33</v>
      </c>
      <c r="B99" t="s">
        <v>34</v>
      </c>
      <c r="C99" t="s">
        <v>12</v>
      </c>
      <c r="D99" t="s">
        <v>10</v>
      </c>
      <c r="E99" t="s">
        <v>11</v>
      </c>
      <c r="F99">
        <v>160</v>
      </c>
      <c r="G99" s="1">
        <v>160.25</v>
      </c>
    </row>
    <row r="100" spans="1:7">
      <c r="A100" t="s">
        <v>33</v>
      </c>
      <c r="B100" t="s">
        <v>34</v>
      </c>
      <c r="C100" t="s">
        <v>13</v>
      </c>
      <c r="D100" t="s">
        <v>10</v>
      </c>
      <c r="E100" t="s">
        <v>11</v>
      </c>
      <c r="F100">
        <v>120</v>
      </c>
      <c r="G100" s="1">
        <v>121.11</v>
      </c>
    </row>
    <row r="101" spans="1:7">
      <c r="A101" t="s">
        <v>33</v>
      </c>
      <c r="B101" t="s">
        <v>34</v>
      </c>
      <c r="C101" t="s">
        <v>9</v>
      </c>
      <c r="D101" t="s">
        <v>14</v>
      </c>
      <c r="E101" t="s">
        <v>15</v>
      </c>
      <c r="F101">
        <v>135</v>
      </c>
      <c r="G101" s="1">
        <v>141.41</v>
      </c>
    </row>
    <row r="102" spans="1:7">
      <c r="A102" t="s">
        <v>33</v>
      </c>
      <c r="B102" t="s">
        <v>34</v>
      </c>
      <c r="C102" t="s">
        <v>12</v>
      </c>
      <c r="D102" t="s">
        <v>14</v>
      </c>
      <c r="E102" t="s">
        <v>15</v>
      </c>
      <c r="F102">
        <v>180</v>
      </c>
      <c r="G102" s="1">
        <v>188.91</v>
      </c>
    </row>
    <row r="103" spans="1:7">
      <c r="A103" t="s">
        <v>33</v>
      </c>
      <c r="B103" t="s">
        <v>34</v>
      </c>
      <c r="C103" t="s">
        <v>13</v>
      </c>
      <c r="D103" t="s">
        <v>14</v>
      </c>
      <c r="E103" t="s">
        <v>15</v>
      </c>
      <c r="F103">
        <v>135</v>
      </c>
      <c r="G103" s="1">
        <v>140.83000000000001</v>
      </c>
    </row>
    <row r="104" spans="1:7">
      <c r="A104" t="s">
        <v>33</v>
      </c>
      <c r="B104" t="s">
        <v>34</v>
      </c>
      <c r="C104" t="s">
        <v>9</v>
      </c>
      <c r="D104" t="s">
        <v>16</v>
      </c>
      <c r="E104" t="s">
        <v>17</v>
      </c>
      <c r="F104">
        <v>135.9</v>
      </c>
      <c r="G104" s="1">
        <v>138.85</v>
      </c>
    </row>
    <row r="105" spans="1:7">
      <c r="A105" t="s">
        <v>33</v>
      </c>
      <c r="B105" t="s">
        <v>34</v>
      </c>
      <c r="C105" t="s">
        <v>12</v>
      </c>
      <c r="D105" t="s">
        <v>16</v>
      </c>
      <c r="E105" t="s">
        <v>17</v>
      </c>
      <c r="F105">
        <v>181.2</v>
      </c>
      <c r="G105" s="1">
        <v>182.01</v>
      </c>
    </row>
    <row r="106" spans="1:7">
      <c r="A106" t="s">
        <v>33</v>
      </c>
      <c r="B106" t="s">
        <v>34</v>
      </c>
      <c r="C106" t="s">
        <v>13</v>
      </c>
      <c r="D106" t="s">
        <v>16</v>
      </c>
      <c r="E106" t="s">
        <v>17</v>
      </c>
      <c r="F106">
        <v>135.9</v>
      </c>
      <c r="G106" s="1">
        <v>132.49</v>
      </c>
    </row>
    <row r="107" spans="1:7">
      <c r="A107" t="s">
        <v>33</v>
      </c>
      <c r="B107" t="s">
        <v>34</v>
      </c>
      <c r="C107" t="s">
        <v>9</v>
      </c>
      <c r="D107" t="s">
        <v>18</v>
      </c>
      <c r="E107" t="s">
        <v>19</v>
      </c>
      <c r="F107">
        <v>70.5</v>
      </c>
      <c r="G107" s="1">
        <v>71.09</v>
      </c>
    </row>
    <row r="108" spans="1:7">
      <c r="A108" t="s">
        <v>33</v>
      </c>
      <c r="B108" t="s">
        <v>34</v>
      </c>
      <c r="C108" t="s">
        <v>12</v>
      </c>
      <c r="D108" t="s">
        <v>18</v>
      </c>
      <c r="E108" t="s">
        <v>19</v>
      </c>
      <c r="F108">
        <v>94</v>
      </c>
      <c r="G108" s="1">
        <v>95.99</v>
      </c>
    </row>
    <row r="109" spans="1:7">
      <c r="A109" t="s">
        <v>33</v>
      </c>
      <c r="B109" t="s">
        <v>34</v>
      </c>
      <c r="C109" t="s">
        <v>13</v>
      </c>
      <c r="D109" t="s">
        <v>18</v>
      </c>
      <c r="E109" t="s">
        <v>19</v>
      </c>
      <c r="F109">
        <v>70.5</v>
      </c>
      <c r="G109" s="1">
        <v>67.53</v>
      </c>
    </row>
    <row r="110" spans="1:7">
      <c r="A110" t="s">
        <v>33</v>
      </c>
      <c r="B110" t="s">
        <v>34</v>
      </c>
      <c r="C110" t="s">
        <v>9</v>
      </c>
      <c r="D110" t="s">
        <v>10</v>
      </c>
      <c r="E110" t="s">
        <v>20</v>
      </c>
      <c r="F110">
        <v>135.30000000000001</v>
      </c>
      <c r="G110" s="1">
        <v>133.63999999999999</v>
      </c>
    </row>
    <row r="111" spans="1:7">
      <c r="A111" t="s">
        <v>33</v>
      </c>
      <c r="B111" t="s">
        <v>34</v>
      </c>
      <c r="C111" t="s">
        <v>12</v>
      </c>
      <c r="D111" t="s">
        <v>10</v>
      </c>
      <c r="E111" t="s">
        <v>20</v>
      </c>
      <c r="F111">
        <v>180.4</v>
      </c>
      <c r="G111" s="1">
        <v>172.16</v>
      </c>
    </row>
    <row r="112" spans="1:7">
      <c r="A112" t="s">
        <v>33</v>
      </c>
      <c r="B112" t="s">
        <v>34</v>
      </c>
      <c r="C112" t="s">
        <v>13</v>
      </c>
      <c r="D112" t="s">
        <v>10</v>
      </c>
      <c r="E112" t="s">
        <v>20</v>
      </c>
      <c r="F112">
        <v>135.30000000000001</v>
      </c>
      <c r="G112" s="1">
        <v>135.72</v>
      </c>
    </row>
    <row r="113" spans="1:7">
      <c r="A113" t="s">
        <v>33</v>
      </c>
      <c r="B113" t="s">
        <v>34</v>
      </c>
      <c r="C113" t="s">
        <v>9</v>
      </c>
      <c r="D113" t="s">
        <v>21</v>
      </c>
      <c r="E113" t="s">
        <v>22</v>
      </c>
      <c r="F113">
        <v>136.80000000000001</v>
      </c>
      <c r="G113" s="1">
        <v>131.32</v>
      </c>
    </row>
    <row r="114" spans="1:7">
      <c r="A114" t="s">
        <v>33</v>
      </c>
      <c r="B114" t="s">
        <v>34</v>
      </c>
      <c r="C114" t="s">
        <v>12</v>
      </c>
      <c r="D114" t="s">
        <v>21</v>
      </c>
      <c r="E114" t="s">
        <v>22</v>
      </c>
      <c r="F114">
        <v>182.4</v>
      </c>
      <c r="G114" s="1">
        <v>189.15</v>
      </c>
    </row>
    <row r="115" spans="1:7">
      <c r="A115" t="s">
        <v>33</v>
      </c>
      <c r="B115" t="s">
        <v>34</v>
      </c>
      <c r="C115" t="s">
        <v>13</v>
      </c>
      <c r="D115" t="s">
        <v>21</v>
      </c>
      <c r="E115" t="s">
        <v>22</v>
      </c>
      <c r="F115">
        <v>136.80000000000001</v>
      </c>
      <c r="G115" s="1">
        <v>142.16999999999999</v>
      </c>
    </row>
    <row r="116" spans="1:7">
      <c r="A116" t="s">
        <v>33</v>
      </c>
      <c r="B116" t="s">
        <v>34</v>
      </c>
      <c r="C116" t="s">
        <v>9</v>
      </c>
      <c r="D116" t="s">
        <v>23</v>
      </c>
      <c r="E116" t="s">
        <v>24</v>
      </c>
      <c r="F116">
        <v>22.5</v>
      </c>
      <c r="G116" s="1">
        <v>23.49</v>
      </c>
    </row>
    <row r="117" spans="1:7">
      <c r="A117" t="s">
        <v>33</v>
      </c>
      <c r="B117" t="s">
        <v>34</v>
      </c>
      <c r="C117" t="s">
        <v>12</v>
      </c>
      <c r="D117" t="s">
        <v>23</v>
      </c>
      <c r="E117" t="s">
        <v>24</v>
      </c>
      <c r="F117">
        <v>30</v>
      </c>
      <c r="G117" s="1">
        <v>29</v>
      </c>
    </row>
    <row r="118" spans="1:7">
      <c r="A118" t="s">
        <v>33</v>
      </c>
      <c r="B118" t="s">
        <v>34</v>
      </c>
      <c r="C118" t="s">
        <v>13</v>
      </c>
      <c r="D118" t="s">
        <v>23</v>
      </c>
      <c r="E118" t="s">
        <v>24</v>
      </c>
      <c r="F118">
        <v>22.5</v>
      </c>
      <c r="G118" s="1">
        <v>22.76</v>
      </c>
    </row>
    <row r="119" spans="1:7">
      <c r="A119" t="s">
        <v>33</v>
      </c>
      <c r="B119" t="s">
        <v>34</v>
      </c>
      <c r="C119" t="s">
        <v>9</v>
      </c>
      <c r="D119" t="s">
        <v>25</v>
      </c>
      <c r="E119" t="s">
        <v>26</v>
      </c>
      <c r="F119">
        <v>1440</v>
      </c>
      <c r="G119" s="1">
        <v>1473.26</v>
      </c>
    </row>
    <row r="120" spans="1:7">
      <c r="A120" t="s">
        <v>33</v>
      </c>
      <c r="B120" t="s">
        <v>34</v>
      </c>
      <c r="C120" t="s">
        <v>12</v>
      </c>
      <c r="D120" t="s">
        <v>25</v>
      </c>
      <c r="E120" t="s">
        <v>26</v>
      </c>
      <c r="F120">
        <v>1920</v>
      </c>
      <c r="G120" s="1">
        <v>1831.42</v>
      </c>
    </row>
    <row r="121" spans="1:7">
      <c r="A121" t="s">
        <v>33</v>
      </c>
      <c r="B121" t="s">
        <v>34</v>
      </c>
      <c r="C121" t="s">
        <v>13</v>
      </c>
      <c r="D121" t="s">
        <v>25</v>
      </c>
      <c r="E121" t="s">
        <v>26</v>
      </c>
      <c r="F121">
        <v>1440</v>
      </c>
      <c r="G121" s="1">
        <v>1478.18</v>
      </c>
    </row>
    <row r="122" spans="1:7">
      <c r="A122" t="s">
        <v>35</v>
      </c>
      <c r="B122" t="s">
        <v>36</v>
      </c>
      <c r="C122" t="s">
        <v>9</v>
      </c>
      <c r="D122" t="s">
        <v>10</v>
      </c>
      <c r="E122" t="s">
        <v>11</v>
      </c>
      <c r="F122">
        <v>120</v>
      </c>
      <c r="G122" s="1">
        <v>116.18</v>
      </c>
    </row>
    <row r="123" spans="1:7">
      <c r="A123" t="s">
        <v>35</v>
      </c>
      <c r="B123" t="s">
        <v>36</v>
      </c>
      <c r="C123" t="s">
        <v>12</v>
      </c>
      <c r="D123" t="s">
        <v>10</v>
      </c>
      <c r="E123" t="s">
        <v>11</v>
      </c>
      <c r="F123">
        <v>160</v>
      </c>
      <c r="G123" s="1">
        <v>152.29</v>
      </c>
    </row>
    <row r="124" spans="1:7">
      <c r="A124" t="s">
        <v>35</v>
      </c>
      <c r="B124" t="s">
        <v>36</v>
      </c>
      <c r="C124" t="s">
        <v>13</v>
      </c>
      <c r="D124" t="s">
        <v>10</v>
      </c>
      <c r="E124" t="s">
        <v>11</v>
      </c>
      <c r="F124">
        <v>120</v>
      </c>
      <c r="G124" s="1">
        <v>124.4</v>
      </c>
    </row>
    <row r="125" spans="1:7">
      <c r="A125" t="s">
        <v>35</v>
      </c>
      <c r="B125" t="s">
        <v>36</v>
      </c>
      <c r="C125" t="s">
        <v>9</v>
      </c>
      <c r="D125" t="s">
        <v>14</v>
      </c>
      <c r="E125" t="s">
        <v>15</v>
      </c>
      <c r="F125">
        <v>135</v>
      </c>
      <c r="G125" s="1">
        <v>129.68</v>
      </c>
    </row>
    <row r="126" spans="1:7">
      <c r="A126" t="s">
        <v>35</v>
      </c>
      <c r="B126" t="s">
        <v>36</v>
      </c>
      <c r="C126" t="s">
        <v>12</v>
      </c>
      <c r="D126" t="s">
        <v>14</v>
      </c>
      <c r="E126" t="s">
        <v>15</v>
      </c>
      <c r="F126">
        <v>180</v>
      </c>
      <c r="G126" s="1">
        <v>172.71</v>
      </c>
    </row>
    <row r="127" spans="1:7">
      <c r="A127" t="s">
        <v>35</v>
      </c>
      <c r="B127" t="s">
        <v>36</v>
      </c>
      <c r="C127" t="s">
        <v>13</v>
      </c>
      <c r="D127" t="s">
        <v>14</v>
      </c>
      <c r="E127" t="s">
        <v>15</v>
      </c>
      <c r="F127">
        <v>135</v>
      </c>
      <c r="G127" s="1">
        <v>137.04</v>
      </c>
    </row>
    <row r="128" spans="1:7">
      <c r="A128" t="s">
        <v>35</v>
      </c>
      <c r="B128" t="s">
        <v>36</v>
      </c>
      <c r="C128" t="s">
        <v>9</v>
      </c>
      <c r="D128" t="s">
        <v>16</v>
      </c>
      <c r="E128" t="s">
        <v>17</v>
      </c>
      <c r="F128">
        <v>135.9</v>
      </c>
      <c r="G128" s="1">
        <v>140.19999999999999</v>
      </c>
    </row>
    <row r="129" spans="1:7">
      <c r="A129" t="s">
        <v>35</v>
      </c>
      <c r="B129" t="s">
        <v>36</v>
      </c>
      <c r="C129" t="s">
        <v>12</v>
      </c>
      <c r="D129" t="s">
        <v>16</v>
      </c>
      <c r="E129" t="s">
        <v>17</v>
      </c>
      <c r="F129">
        <v>181.2</v>
      </c>
      <c r="G129" s="1">
        <v>183.31</v>
      </c>
    </row>
    <row r="130" spans="1:7">
      <c r="A130" t="s">
        <v>35</v>
      </c>
      <c r="B130" t="s">
        <v>36</v>
      </c>
      <c r="C130" t="s">
        <v>13</v>
      </c>
      <c r="D130" t="s">
        <v>16</v>
      </c>
      <c r="E130" t="s">
        <v>17</v>
      </c>
      <c r="F130">
        <v>135.9</v>
      </c>
      <c r="G130" s="1">
        <v>137.24</v>
      </c>
    </row>
    <row r="131" spans="1:7">
      <c r="A131" t="s">
        <v>35</v>
      </c>
      <c r="B131" t="s">
        <v>36</v>
      </c>
      <c r="C131" t="s">
        <v>9</v>
      </c>
      <c r="D131" t="s">
        <v>18</v>
      </c>
      <c r="E131" t="s">
        <v>19</v>
      </c>
      <c r="F131">
        <v>70.5</v>
      </c>
      <c r="G131" s="1">
        <v>72.349999999999994</v>
      </c>
    </row>
    <row r="132" spans="1:7">
      <c r="A132" t="s">
        <v>35</v>
      </c>
      <c r="B132" t="s">
        <v>36</v>
      </c>
      <c r="C132" t="s">
        <v>12</v>
      </c>
      <c r="D132" t="s">
        <v>18</v>
      </c>
      <c r="E132" t="s">
        <v>19</v>
      </c>
      <c r="F132">
        <v>94</v>
      </c>
      <c r="G132" s="1">
        <v>91.98</v>
      </c>
    </row>
    <row r="133" spans="1:7">
      <c r="A133" t="s">
        <v>35</v>
      </c>
      <c r="B133" t="s">
        <v>36</v>
      </c>
      <c r="C133" t="s">
        <v>13</v>
      </c>
      <c r="D133" t="s">
        <v>18</v>
      </c>
      <c r="E133" t="s">
        <v>19</v>
      </c>
      <c r="F133">
        <v>70.5</v>
      </c>
      <c r="G133" s="1">
        <v>69.33</v>
      </c>
    </row>
    <row r="134" spans="1:7">
      <c r="A134" t="s">
        <v>35</v>
      </c>
      <c r="B134" t="s">
        <v>36</v>
      </c>
      <c r="C134" t="s">
        <v>9</v>
      </c>
      <c r="D134" t="s">
        <v>10</v>
      </c>
      <c r="E134" t="s">
        <v>20</v>
      </c>
      <c r="F134">
        <v>135.30000000000001</v>
      </c>
      <c r="G134" s="1">
        <v>137.54</v>
      </c>
    </row>
    <row r="135" spans="1:7">
      <c r="A135" t="s">
        <v>35</v>
      </c>
      <c r="B135" t="s">
        <v>36</v>
      </c>
      <c r="C135" t="s">
        <v>12</v>
      </c>
      <c r="D135" t="s">
        <v>10</v>
      </c>
      <c r="E135" t="s">
        <v>20</v>
      </c>
      <c r="F135">
        <v>180.4</v>
      </c>
      <c r="G135" s="1">
        <v>184.4</v>
      </c>
    </row>
    <row r="136" spans="1:7">
      <c r="A136" t="s">
        <v>35</v>
      </c>
      <c r="B136" t="s">
        <v>36</v>
      </c>
      <c r="C136" t="s">
        <v>13</v>
      </c>
      <c r="D136" t="s">
        <v>10</v>
      </c>
      <c r="E136" t="s">
        <v>20</v>
      </c>
      <c r="F136">
        <v>135.30000000000001</v>
      </c>
      <c r="G136" s="1">
        <v>137.01</v>
      </c>
    </row>
    <row r="137" spans="1:7">
      <c r="A137" t="s">
        <v>35</v>
      </c>
      <c r="B137" t="s">
        <v>36</v>
      </c>
      <c r="C137" t="s">
        <v>9</v>
      </c>
      <c r="D137" t="s">
        <v>21</v>
      </c>
      <c r="E137" t="s">
        <v>22</v>
      </c>
      <c r="F137">
        <v>136.80000000000001</v>
      </c>
      <c r="G137" s="1">
        <v>134.72</v>
      </c>
    </row>
    <row r="138" spans="1:7">
      <c r="A138" t="s">
        <v>35</v>
      </c>
      <c r="B138" t="s">
        <v>36</v>
      </c>
      <c r="C138" t="s">
        <v>12</v>
      </c>
      <c r="D138" t="s">
        <v>21</v>
      </c>
      <c r="E138" t="s">
        <v>22</v>
      </c>
      <c r="F138">
        <v>182.4</v>
      </c>
      <c r="G138" s="1">
        <v>177.5</v>
      </c>
    </row>
    <row r="139" spans="1:7">
      <c r="A139" t="s">
        <v>35</v>
      </c>
      <c r="B139" t="s">
        <v>36</v>
      </c>
      <c r="C139" t="s">
        <v>13</v>
      </c>
      <c r="D139" t="s">
        <v>21</v>
      </c>
      <c r="E139" t="s">
        <v>22</v>
      </c>
      <c r="F139">
        <v>136.80000000000001</v>
      </c>
      <c r="G139" s="1">
        <v>135.68</v>
      </c>
    </row>
    <row r="140" spans="1:7">
      <c r="A140" t="s">
        <v>35</v>
      </c>
      <c r="B140" t="s">
        <v>36</v>
      </c>
      <c r="C140" t="s">
        <v>9</v>
      </c>
      <c r="D140" t="s">
        <v>23</v>
      </c>
      <c r="E140" t="s">
        <v>24</v>
      </c>
      <c r="F140">
        <v>22.5</v>
      </c>
      <c r="G140" s="1">
        <v>22.27</v>
      </c>
    </row>
    <row r="141" spans="1:7">
      <c r="A141" t="s">
        <v>35</v>
      </c>
      <c r="B141" t="s">
        <v>36</v>
      </c>
      <c r="C141" t="s">
        <v>12</v>
      </c>
      <c r="D141" t="s">
        <v>23</v>
      </c>
      <c r="E141" t="s">
        <v>24</v>
      </c>
      <c r="F141">
        <v>30</v>
      </c>
      <c r="G141" s="1">
        <v>29.75</v>
      </c>
    </row>
    <row r="142" spans="1:7">
      <c r="A142" t="s">
        <v>35</v>
      </c>
      <c r="B142" t="s">
        <v>36</v>
      </c>
      <c r="C142" t="s">
        <v>13</v>
      </c>
      <c r="D142" t="s">
        <v>23</v>
      </c>
      <c r="E142" t="s">
        <v>24</v>
      </c>
      <c r="F142">
        <v>22.5</v>
      </c>
      <c r="G142" s="1">
        <v>23.11</v>
      </c>
    </row>
    <row r="143" spans="1:7">
      <c r="A143" t="s">
        <v>35</v>
      </c>
      <c r="B143" t="s">
        <v>36</v>
      </c>
      <c r="C143" t="s">
        <v>9</v>
      </c>
      <c r="D143" t="s">
        <v>25</v>
      </c>
      <c r="E143" t="s">
        <v>26</v>
      </c>
      <c r="F143">
        <v>1440</v>
      </c>
      <c r="G143" s="1">
        <v>1479.3</v>
      </c>
    </row>
    <row r="144" spans="1:7">
      <c r="A144" t="s">
        <v>35</v>
      </c>
      <c r="B144" t="s">
        <v>36</v>
      </c>
      <c r="C144" t="s">
        <v>12</v>
      </c>
      <c r="D144" t="s">
        <v>25</v>
      </c>
      <c r="E144" t="s">
        <v>26</v>
      </c>
      <c r="F144">
        <v>1920</v>
      </c>
      <c r="G144" s="1">
        <v>2009.26</v>
      </c>
    </row>
    <row r="145" spans="1:7">
      <c r="A145" t="s">
        <v>35</v>
      </c>
      <c r="B145" t="s">
        <v>36</v>
      </c>
      <c r="C145" t="s">
        <v>13</v>
      </c>
      <c r="D145" t="s">
        <v>25</v>
      </c>
      <c r="E145" t="s">
        <v>26</v>
      </c>
      <c r="F145">
        <v>1440</v>
      </c>
      <c r="G145" s="1">
        <v>1488.94</v>
      </c>
    </row>
    <row r="146" spans="1:7">
      <c r="A146" t="s">
        <v>37</v>
      </c>
      <c r="B146" t="s">
        <v>38</v>
      </c>
      <c r="C146" t="s">
        <v>9</v>
      </c>
      <c r="D146" t="s">
        <v>10</v>
      </c>
      <c r="E146" t="s">
        <v>11</v>
      </c>
      <c r="F146">
        <v>120</v>
      </c>
      <c r="G146" s="1">
        <v>116.82</v>
      </c>
    </row>
    <row r="147" spans="1:7">
      <c r="A147" t="s">
        <v>37</v>
      </c>
      <c r="B147" t="s">
        <v>38</v>
      </c>
      <c r="C147" t="s">
        <v>12</v>
      </c>
      <c r="D147" t="s">
        <v>10</v>
      </c>
      <c r="E147" t="s">
        <v>11</v>
      </c>
      <c r="F147">
        <v>160</v>
      </c>
      <c r="G147" s="1">
        <v>153.68</v>
      </c>
    </row>
    <row r="148" spans="1:7">
      <c r="A148" t="s">
        <v>37</v>
      </c>
      <c r="B148" t="s">
        <v>38</v>
      </c>
      <c r="C148" t="s">
        <v>13</v>
      </c>
      <c r="D148" t="s">
        <v>10</v>
      </c>
      <c r="E148" t="s">
        <v>11</v>
      </c>
      <c r="F148">
        <v>120</v>
      </c>
      <c r="G148" s="1">
        <v>122.93</v>
      </c>
    </row>
    <row r="149" spans="1:7">
      <c r="A149" t="s">
        <v>37</v>
      </c>
      <c r="B149" t="s">
        <v>38</v>
      </c>
      <c r="C149" t="s">
        <v>9</v>
      </c>
      <c r="D149" t="s">
        <v>14</v>
      </c>
      <c r="E149" t="s">
        <v>15</v>
      </c>
      <c r="F149">
        <v>135</v>
      </c>
      <c r="G149" s="1">
        <v>129.11000000000001</v>
      </c>
    </row>
    <row r="150" spans="1:7">
      <c r="A150" t="s">
        <v>37</v>
      </c>
      <c r="B150" t="s">
        <v>38</v>
      </c>
      <c r="C150" t="s">
        <v>12</v>
      </c>
      <c r="D150" t="s">
        <v>14</v>
      </c>
      <c r="E150" t="s">
        <v>15</v>
      </c>
      <c r="F150">
        <v>180</v>
      </c>
      <c r="G150" s="1">
        <v>174.15</v>
      </c>
    </row>
    <row r="151" spans="1:7">
      <c r="A151" t="s">
        <v>37</v>
      </c>
      <c r="B151" t="s">
        <v>38</v>
      </c>
      <c r="C151" t="s">
        <v>13</v>
      </c>
      <c r="D151" t="s">
        <v>14</v>
      </c>
      <c r="E151" t="s">
        <v>15</v>
      </c>
      <c r="F151">
        <v>135</v>
      </c>
      <c r="G151" s="1">
        <v>129.4</v>
      </c>
    </row>
    <row r="152" spans="1:7">
      <c r="A152" t="s">
        <v>37</v>
      </c>
      <c r="B152" t="s">
        <v>38</v>
      </c>
      <c r="C152" t="s">
        <v>9</v>
      </c>
      <c r="D152" t="s">
        <v>16</v>
      </c>
      <c r="E152" t="s">
        <v>17</v>
      </c>
      <c r="F152">
        <v>135.9</v>
      </c>
      <c r="G152" s="1">
        <v>136.66999999999999</v>
      </c>
    </row>
    <row r="153" spans="1:7">
      <c r="A153" t="s">
        <v>37</v>
      </c>
      <c r="B153" t="s">
        <v>38</v>
      </c>
      <c r="C153" t="s">
        <v>12</v>
      </c>
      <c r="D153" t="s">
        <v>16</v>
      </c>
      <c r="E153" t="s">
        <v>17</v>
      </c>
      <c r="F153">
        <v>181.2</v>
      </c>
      <c r="G153" s="1">
        <v>180.68</v>
      </c>
    </row>
    <row r="154" spans="1:7">
      <c r="A154" t="s">
        <v>37</v>
      </c>
      <c r="B154" t="s">
        <v>38</v>
      </c>
      <c r="C154" t="s">
        <v>13</v>
      </c>
      <c r="D154" t="s">
        <v>16</v>
      </c>
      <c r="E154" t="s">
        <v>17</v>
      </c>
      <c r="F154">
        <v>135.9</v>
      </c>
      <c r="G154" s="1">
        <v>134.26</v>
      </c>
    </row>
    <row r="155" spans="1:7">
      <c r="A155" t="s">
        <v>37</v>
      </c>
      <c r="B155" t="s">
        <v>38</v>
      </c>
      <c r="C155" t="s">
        <v>9</v>
      </c>
      <c r="D155" t="s">
        <v>18</v>
      </c>
      <c r="E155" t="s">
        <v>19</v>
      </c>
      <c r="F155">
        <v>70.5</v>
      </c>
      <c r="G155" s="1">
        <v>69.44</v>
      </c>
    </row>
    <row r="156" spans="1:7">
      <c r="A156" t="s">
        <v>37</v>
      </c>
      <c r="B156" t="s">
        <v>38</v>
      </c>
      <c r="C156" t="s">
        <v>12</v>
      </c>
      <c r="D156" t="s">
        <v>18</v>
      </c>
      <c r="E156" t="s">
        <v>19</v>
      </c>
      <c r="F156">
        <v>94</v>
      </c>
      <c r="G156" s="1">
        <v>91.62</v>
      </c>
    </row>
    <row r="157" spans="1:7">
      <c r="A157" t="s">
        <v>37</v>
      </c>
      <c r="B157" t="s">
        <v>38</v>
      </c>
      <c r="C157" t="s">
        <v>13</v>
      </c>
      <c r="D157" t="s">
        <v>18</v>
      </c>
      <c r="E157" t="s">
        <v>19</v>
      </c>
      <c r="F157">
        <v>70.5</v>
      </c>
      <c r="G157" s="1">
        <v>69.14</v>
      </c>
    </row>
    <row r="158" spans="1:7">
      <c r="A158" t="s">
        <v>37</v>
      </c>
      <c r="B158" t="s">
        <v>38</v>
      </c>
      <c r="C158" t="s">
        <v>9</v>
      </c>
      <c r="D158" t="s">
        <v>10</v>
      </c>
      <c r="E158" t="s">
        <v>20</v>
      </c>
      <c r="F158">
        <v>135.30000000000001</v>
      </c>
      <c r="G158" s="1">
        <v>132.06</v>
      </c>
    </row>
    <row r="159" spans="1:7">
      <c r="A159" t="s">
        <v>37</v>
      </c>
      <c r="B159" t="s">
        <v>38</v>
      </c>
      <c r="C159" t="s">
        <v>12</v>
      </c>
      <c r="D159" t="s">
        <v>10</v>
      </c>
      <c r="E159" t="s">
        <v>20</v>
      </c>
      <c r="F159">
        <v>180.4</v>
      </c>
      <c r="G159" s="1">
        <v>179.33</v>
      </c>
    </row>
    <row r="160" spans="1:7">
      <c r="A160" t="s">
        <v>37</v>
      </c>
      <c r="B160" t="s">
        <v>38</v>
      </c>
      <c r="C160" t="s">
        <v>13</v>
      </c>
      <c r="D160" t="s">
        <v>10</v>
      </c>
      <c r="E160" t="s">
        <v>20</v>
      </c>
      <c r="F160">
        <v>135.30000000000001</v>
      </c>
      <c r="G160" s="1">
        <v>138.53</v>
      </c>
    </row>
    <row r="161" spans="1:7">
      <c r="A161" t="s">
        <v>37</v>
      </c>
      <c r="B161" t="s">
        <v>38</v>
      </c>
      <c r="C161" t="s">
        <v>9</v>
      </c>
      <c r="D161" t="s">
        <v>21</v>
      </c>
      <c r="E161" t="s">
        <v>22</v>
      </c>
      <c r="F161">
        <v>136.80000000000001</v>
      </c>
      <c r="G161" s="1">
        <v>131.30000000000001</v>
      </c>
    </row>
    <row r="162" spans="1:7">
      <c r="A162" t="s">
        <v>37</v>
      </c>
      <c r="B162" t="s">
        <v>38</v>
      </c>
      <c r="C162" t="s">
        <v>12</v>
      </c>
      <c r="D162" t="s">
        <v>21</v>
      </c>
      <c r="E162" t="s">
        <v>22</v>
      </c>
      <c r="F162">
        <v>182.4</v>
      </c>
      <c r="G162" s="1">
        <v>178.12</v>
      </c>
    </row>
    <row r="163" spans="1:7">
      <c r="A163" t="s">
        <v>37</v>
      </c>
      <c r="B163" t="s">
        <v>38</v>
      </c>
      <c r="C163" t="s">
        <v>13</v>
      </c>
      <c r="D163" t="s">
        <v>21</v>
      </c>
      <c r="E163" t="s">
        <v>22</v>
      </c>
      <c r="F163">
        <v>136.80000000000001</v>
      </c>
      <c r="G163" s="1">
        <v>141.22</v>
      </c>
    </row>
    <row r="164" spans="1:7">
      <c r="A164" t="s">
        <v>37</v>
      </c>
      <c r="B164" t="s">
        <v>38</v>
      </c>
      <c r="C164" t="s">
        <v>9</v>
      </c>
      <c r="D164" t="s">
        <v>23</v>
      </c>
      <c r="E164" t="s">
        <v>24</v>
      </c>
      <c r="F164">
        <v>22.5</v>
      </c>
      <c r="G164" s="1">
        <v>22.66</v>
      </c>
    </row>
    <row r="165" spans="1:7">
      <c r="A165" t="s">
        <v>37</v>
      </c>
      <c r="B165" t="s">
        <v>38</v>
      </c>
      <c r="C165" t="s">
        <v>12</v>
      </c>
      <c r="D165" t="s">
        <v>23</v>
      </c>
      <c r="E165" t="s">
        <v>24</v>
      </c>
      <c r="F165">
        <v>30</v>
      </c>
      <c r="G165" s="1">
        <v>28.72</v>
      </c>
    </row>
    <row r="166" spans="1:7">
      <c r="A166" t="s">
        <v>37</v>
      </c>
      <c r="B166" t="s">
        <v>38</v>
      </c>
      <c r="C166" t="s">
        <v>13</v>
      </c>
      <c r="D166" t="s">
        <v>23</v>
      </c>
      <c r="E166" t="s">
        <v>24</v>
      </c>
      <c r="F166">
        <v>22.5</v>
      </c>
      <c r="G166" s="1">
        <v>22.01</v>
      </c>
    </row>
    <row r="167" spans="1:7">
      <c r="A167" t="s">
        <v>37</v>
      </c>
      <c r="B167" t="s">
        <v>38</v>
      </c>
      <c r="C167" t="s">
        <v>9</v>
      </c>
      <c r="D167" t="s">
        <v>25</v>
      </c>
      <c r="E167" t="s">
        <v>26</v>
      </c>
      <c r="F167">
        <v>1440</v>
      </c>
      <c r="G167" s="1">
        <v>1478.89</v>
      </c>
    </row>
    <row r="168" spans="1:7">
      <c r="A168" t="s">
        <v>37</v>
      </c>
      <c r="B168" t="s">
        <v>38</v>
      </c>
      <c r="C168" t="s">
        <v>12</v>
      </c>
      <c r="D168" t="s">
        <v>25</v>
      </c>
      <c r="E168" t="s">
        <v>26</v>
      </c>
      <c r="F168">
        <v>1920</v>
      </c>
      <c r="G168" s="1">
        <v>1863.05</v>
      </c>
    </row>
    <row r="169" spans="1:7">
      <c r="A169" t="s">
        <v>37</v>
      </c>
      <c r="B169" t="s">
        <v>38</v>
      </c>
      <c r="C169" t="s">
        <v>13</v>
      </c>
      <c r="D169" t="s">
        <v>25</v>
      </c>
      <c r="E169" t="s">
        <v>26</v>
      </c>
      <c r="F169">
        <v>1440</v>
      </c>
      <c r="G169" s="1">
        <v>1469.58</v>
      </c>
    </row>
    <row r="170" spans="1:7">
      <c r="A170" t="s">
        <v>39</v>
      </c>
      <c r="B170" t="s">
        <v>40</v>
      </c>
      <c r="C170" t="s">
        <v>9</v>
      </c>
      <c r="D170" t="s">
        <v>10</v>
      </c>
      <c r="E170" t="s">
        <v>11</v>
      </c>
      <c r="F170">
        <v>120</v>
      </c>
      <c r="G170" s="1">
        <v>122.75</v>
      </c>
    </row>
    <row r="171" spans="1:7">
      <c r="A171" t="s">
        <v>39</v>
      </c>
      <c r="B171" t="s">
        <v>40</v>
      </c>
      <c r="C171" t="s">
        <v>12</v>
      </c>
      <c r="D171" t="s">
        <v>10</v>
      </c>
      <c r="E171" t="s">
        <v>11</v>
      </c>
      <c r="F171">
        <v>160</v>
      </c>
      <c r="G171" s="1">
        <v>164.49</v>
      </c>
    </row>
    <row r="172" spans="1:7">
      <c r="A172" t="s">
        <v>39</v>
      </c>
      <c r="B172" t="s">
        <v>40</v>
      </c>
      <c r="C172" t="s">
        <v>13</v>
      </c>
      <c r="D172" t="s">
        <v>10</v>
      </c>
      <c r="E172" t="s">
        <v>11</v>
      </c>
      <c r="F172">
        <v>120</v>
      </c>
      <c r="G172" s="1">
        <v>117.21</v>
      </c>
    </row>
    <row r="173" spans="1:7">
      <c r="A173" t="s">
        <v>39</v>
      </c>
      <c r="B173" t="s">
        <v>40</v>
      </c>
      <c r="C173" t="s">
        <v>9</v>
      </c>
      <c r="D173" t="s">
        <v>14</v>
      </c>
      <c r="E173" t="s">
        <v>15</v>
      </c>
      <c r="F173">
        <v>135</v>
      </c>
      <c r="G173" s="1">
        <v>128.99</v>
      </c>
    </row>
    <row r="174" spans="1:7">
      <c r="A174" t="s">
        <v>39</v>
      </c>
      <c r="B174" t="s">
        <v>40</v>
      </c>
      <c r="C174" t="s">
        <v>12</v>
      </c>
      <c r="D174" t="s">
        <v>14</v>
      </c>
      <c r="E174" t="s">
        <v>15</v>
      </c>
      <c r="F174">
        <v>180</v>
      </c>
      <c r="G174" s="1">
        <v>186.38</v>
      </c>
    </row>
    <row r="175" spans="1:7">
      <c r="A175" t="s">
        <v>39</v>
      </c>
      <c r="B175" t="s">
        <v>40</v>
      </c>
      <c r="C175" t="s">
        <v>13</v>
      </c>
      <c r="D175" t="s">
        <v>14</v>
      </c>
      <c r="E175" t="s">
        <v>15</v>
      </c>
      <c r="F175">
        <v>135</v>
      </c>
      <c r="G175" s="1">
        <v>135.83000000000001</v>
      </c>
    </row>
    <row r="176" spans="1:7">
      <c r="A176" t="s">
        <v>39</v>
      </c>
      <c r="B176" t="s">
        <v>40</v>
      </c>
      <c r="C176" t="s">
        <v>9</v>
      </c>
      <c r="D176" t="s">
        <v>16</v>
      </c>
      <c r="E176" t="s">
        <v>17</v>
      </c>
      <c r="F176">
        <v>135.9</v>
      </c>
      <c r="G176" s="1">
        <v>139.81</v>
      </c>
    </row>
    <row r="177" spans="1:7">
      <c r="A177" t="s">
        <v>39</v>
      </c>
      <c r="B177" t="s">
        <v>40</v>
      </c>
      <c r="C177" t="s">
        <v>12</v>
      </c>
      <c r="D177" t="s">
        <v>16</v>
      </c>
      <c r="E177" t="s">
        <v>17</v>
      </c>
      <c r="F177">
        <v>181.2</v>
      </c>
      <c r="G177" s="1">
        <v>174.98</v>
      </c>
    </row>
    <row r="178" spans="1:7">
      <c r="A178" t="s">
        <v>39</v>
      </c>
      <c r="B178" t="s">
        <v>40</v>
      </c>
      <c r="C178" t="s">
        <v>13</v>
      </c>
      <c r="D178" t="s">
        <v>16</v>
      </c>
      <c r="E178" t="s">
        <v>17</v>
      </c>
      <c r="F178">
        <v>135.9</v>
      </c>
      <c r="G178" s="1">
        <v>135.03</v>
      </c>
    </row>
    <row r="179" spans="1:7">
      <c r="A179" t="s">
        <v>39</v>
      </c>
      <c r="B179" t="s">
        <v>40</v>
      </c>
      <c r="C179" t="s">
        <v>9</v>
      </c>
      <c r="D179" t="s">
        <v>18</v>
      </c>
      <c r="E179" t="s">
        <v>19</v>
      </c>
      <c r="F179">
        <v>70.5</v>
      </c>
      <c r="G179" s="1">
        <v>72.150000000000006</v>
      </c>
    </row>
    <row r="180" spans="1:7">
      <c r="A180" t="s">
        <v>39</v>
      </c>
      <c r="B180" t="s">
        <v>40</v>
      </c>
      <c r="C180" t="s">
        <v>12</v>
      </c>
      <c r="D180" t="s">
        <v>18</v>
      </c>
      <c r="E180" t="s">
        <v>19</v>
      </c>
      <c r="F180">
        <v>94</v>
      </c>
      <c r="G180" s="1">
        <v>92.16</v>
      </c>
    </row>
    <row r="181" spans="1:7">
      <c r="A181" t="s">
        <v>39</v>
      </c>
      <c r="B181" t="s">
        <v>40</v>
      </c>
      <c r="C181" t="s">
        <v>13</v>
      </c>
      <c r="D181" t="s">
        <v>18</v>
      </c>
      <c r="E181" t="s">
        <v>19</v>
      </c>
      <c r="F181">
        <v>70.5</v>
      </c>
      <c r="G181" s="1">
        <v>73.8</v>
      </c>
    </row>
    <row r="182" spans="1:7">
      <c r="A182" t="s">
        <v>39</v>
      </c>
      <c r="B182" t="s">
        <v>40</v>
      </c>
      <c r="C182" t="s">
        <v>9</v>
      </c>
      <c r="D182" t="s">
        <v>10</v>
      </c>
      <c r="E182" t="s">
        <v>20</v>
      </c>
      <c r="F182">
        <v>135.30000000000001</v>
      </c>
      <c r="G182" s="1">
        <v>131.91999999999999</v>
      </c>
    </row>
    <row r="183" spans="1:7">
      <c r="A183" t="s">
        <v>39</v>
      </c>
      <c r="B183" t="s">
        <v>40</v>
      </c>
      <c r="C183" t="s">
        <v>12</v>
      </c>
      <c r="D183" t="s">
        <v>10</v>
      </c>
      <c r="E183" t="s">
        <v>20</v>
      </c>
      <c r="F183">
        <v>180.4</v>
      </c>
      <c r="G183" s="1">
        <v>174.27</v>
      </c>
    </row>
    <row r="184" spans="1:7">
      <c r="A184" t="s">
        <v>39</v>
      </c>
      <c r="B184" t="s">
        <v>40</v>
      </c>
      <c r="C184" t="s">
        <v>13</v>
      </c>
      <c r="D184" t="s">
        <v>10</v>
      </c>
      <c r="E184" t="s">
        <v>20</v>
      </c>
      <c r="F184">
        <v>135.30000000000001</v>
      </c>
      <c r="G184" s="1">
        <v>138.69</v>
      </c>
    </row>
    <row r="185" spans="1:7">
      <c r="A185" t="s">
        <v>39</v>
      </c>
      <c r="B185" t="s">
        <v>40</v>
      </c>
      <c r="C185" t="s">
        <v>9</v>
      </c>
      <c r="D185" t="s">
        <v>21</v>
      </c>
      <c r="E185" t="s">
        <v>22</v>
      </c>
      <c r="F185">
        <v>136.80000000000001</v>
      </c>
      <c r="G185" s="1">
        <v>140.65</v>
      </c>
    </row>
    <row r="186" spans="1:7">
      <c r="A186" t="s">
        <v>39</v>
      </c>
      <c r="B186" t="s">
        <v>40</v>
      </c>
      <c r="C186" t="s">
        <v>12</v>
      </c>
      <c r="D186" t="s">
        <v>21</v>
      </c>
      <c r="E186" t="s">
        <v>22</v>
      </c>
      <c r="F186">
        <v>182.4</v>
      </c>
      <c r="G186" s="1">
        <v>191.36</v>
      </c>
    </row>
    <row r="187" spans="1:7">
      <c r="A187" t="s">
        <v>39</v>
      </c>
      <c r="B187" t="s">
        <v>40</v>
      </c>
      <c r="C187" t="s">
        <v>13</v>
      </c>
      <c r="D187" t="s">
        <v>21</v>
      </c>
      <c r="E187" t="s">
        <v>22</v>
      </c>
      <c r="F187">
        <v>136.80000000000001</v>
      </c>
      <c r="G187" s="1">
        <v>140.66</v>
      </c>
    </row>
    <row r="188" spans="1:7">
      <c r="A188" t="s">
        <v>39</v>
      </c>
      <c r="B188" t="s">
        <v>40</v>
      </c>
      <c r="C188" t="s">
        <v>9</v>
      </c>
      <c r="D188" t="s">
        <v>23</v>
      </c>
      <c r="E188" t="s">
        <v>24</v>
      </c>
      <c r="F188">
        <v>22.5</v>
      </c>
      <c r="G188" s="1">
        <v>23.15</v>
      </c>
    </row>
    <row r="189" spans="1:7">
      <c r="A189" t="s">
        <v>39</v>
      </c>
      <c r="B189" t="s">
        <v>40</v>
      </c>
      <c r="C189" t="s">
        <v>12</v>
      </c>
      <c r="D189" t="s">
        <v>23</v>
      </c>
      <c r="E189" t="s">
        <v>24</v>
      </c>
      <c r="F189">
        <v>30</v>
      </c>
      <c r="G189" s="1">
        <v>30.43</v>
      </c>
    </row>
    <row r="190" spans="1:7">
      <c r="A190" t="s">
        <v>39</v>
      </c>
      <c r="B190" t="s">
        <v>40</v>
      </c>
      <c r="C190" t="s">
        <v>13</v>
      </c>
      <c r="D190" t="s">
        <v>23</v>
      </c>
      <c r="E190" t="s">
        <v>24</v>
      </c>
      <c r="F190">
        <v>22.5</v>
      </c>
      <c r="G190" s="1">
        <v>22.91</v>
      </c>
    </row>
    <row r="191" spans="1:7">
      <c r="A191" t="s">
        <v>39</v>
      </c>
      <c r="B191" t="s">
        <v>40</v>
      </c>
      <c r="C191" t="s">
        <v>9</v>
      </c>
      <c r="D191" t="s">
        <v>25</v>
      </c>
      <c r="E191" t="s">
        <v>26</v>
      </c>
      <c r="F191">
        <v>1440</v>
      </c>
      <c r="G191" s="1">
        <v>1399.97</v>
      </c>
    </row>
    <row r="192" spans="1:7">
      <c r="A192" t="s">
        <v>39</v>
      </c>
      <c r="B192" t="s">
        <v>40</v>
      </c>
      <c r="C192" t="s">
        <v>12</v>
      </c>
      <c r="D192" t="s">
        <v>25</v>
      </c>
      <c r="E192" t="s">
        <v>26</v>
      </c>
      <c r="F192">
        <v>1920</v>
      </c>
      <c r="G192" s="1">
        <v>1862.47</v>
      </c>
    </row>
    <row r="193" spans="1:7">
      <c r="A193" t="s">
        <v>39</v>
      </c>
      <c r="B193" t="s">
        <v>40</v>
      </c>
      <c r="C193" t="s">
        <v>13</v>
      </c>
      <c r="D193" t="s">
        <v>25</v>
      </c>
      <c r="E193" t="s">
        <v>26</v>
      </c>
      <c r="F193">
        <v>1440</v>
      </c>
      <c r="G193" s="1">
        <v>1442.54</v>
      </c>
    </row>
    <row r="194" spans="1:7">
      <c r="A194" t="s">
        <v>41</v>
      </c>
      <c r="B194" t="s">
        <v>42</v>
      </c>
      <c r="C194" t="s">
        <v>9</v>
      </c>
      <c r="D194" t="s">
        <v>10</v>
      </c>
      <c r="E194" t="s">
        <v>11</v>
      </c>
      <c r="F194">
        <v>120</v>
      </c>
      <c r="G194" s="1">
        <v>120.49</v>
      </c>
    </row>
    <row r="195" spans="1:7">
      <c r="A195" t="s">
        <v>41</v>
      </c>
      <c r="B195" t="s">
        <v>42</v>
      </c>
      <c r="C195" t="s">
        <v>12</v>
      </c>
      <c r="D195" t="s">
        <v>10</v>
      </c>
      <c r="E195" t="s">
        <v>11</v>
      </c>
      <c r="F195">
        <v>160</v>
      </c>
      <c r="G195" s="1">
        <v>152.16</v>
      </c>
    </row>
    <row r="196" spans="1:7">
      <c r="A196" t="s">
        <v>41</v>
      </c>
      <c r="B196" t="s">
        <v>42</v>
      </c>
      <c r="C196" t="s">
        <v>13</v>
      </c>
      <c r="D196" t="s">
        <v>10</v>
      </c>
      <c r="E196" t="s">
        <v>11</v>
      </c>
      <c r="F196">
        <v>120</v>
      </c>
      <c r="G196" s="1">
        <v>124.35</v>
      </c>
    </row>
    <row r="197" spans="1:7">
      <c r="A197" t="s">
        <v>41</v>
      </c>
      <c r="B197" t="s">
        <v>42</v>
      </c>
      <c r="C197" t="s">
        <v>9</v>
      </c>
      <c r="D197" t="s">
        <v>14</v>
      </c>
      <c r="E197" t="s">
        <v>15</v>
      </c>
      <c r="F197">
        <v>135</v>
      </c>
      <c r="G197" s="1">
        <v>131.53</v>
      </c>
    </row>
    <row r="198" spans="1:7">
      <c r="A198" t="s">
        <v>41</v>
      </c>
      <c r="B198" t="s">
        <v>42</v>
      </c>
      <c r="C198" t="s">
        <v>12</v>
      </c>
      <c r="D198" t="s">
        <v>14</v>
      </c>
      <c r="E198" t="s">
        <v>15</v>
      </c>
      <c r="F198">
        <v>180</v>
      </c>
      <c r="G198" s="1">
        <v>174.1</v>
      </c>
    </row>
    <row r="199" spans="1:7">
      <c r="A199" t="s">
        <v>41</v>
      </c>
      <c r="B199" t="s">
        <v>42</v>
      </c>
      <c r="C199" t="s">
        <v>13</v>
      </c>
      <c r="D199" t="s">
        <v>14</v>
      </c>
      <c r="E199" t="s">
        <v>15</v>
      </c>
      <c r="F199">
        <v>135</v>
      </c>
      <c r="G199" s="1">
        <v>140.53</v>
      </c>
    </row>
    <row r="200" spans="1:7">
      <c r="A200" t="s">
        <v>41</v>
      </c>
      <c r="B200" t="s">
        <v>42</v>
      </c>
      <c r="C200" t="s">
        <v>9</v>
      </c>
      <c r="D200" t="s">
        <v>16</v>
      </c>
      <c r="E200" t="s">
        <v>17</v>
      </c>
      <c r="F200">
        <v>135.9</v>
      </c>
      <c r="G200" s="1">
        <v>130.46</v>
      </c>
    </row>
    <row r="201" spans="1:7">
      <c r="A201" t="s">
        <v>41</v>
      </c>
      <c r="B201" t="s">
        <v>42</v>
      </c>
      <c r="C201" t="s">
        <v>12</v>
      </c>
      <c r="D201" t="s">
        <v>16</v>
      </c>
      <c r="E201" t="s">
        <v>17</v>
      </c>
      <c r="F201">
        <v>181.2</v>
      </c>
      <c r="G201" s="1">
        <v>177.32</v>
      </c>
    </row>
    <row r="202" spans="1:7">
      <c r="A202" t="s">
        <v>41</v>
      </c>
      <c r="B202" t="s">
        <v>42</v>
      </c>
      <c r="C202" t="s">
        <v>13</v>
      </c>
      <c r="D202" t="s">
        <v>16</v>
      </c>
      <c r="E202" t="s">
        <v>17</v>
      </c>
      <c r="F202">
        <v>135.9</v>
      </c>
      <c r="G202" s="1">
        <v>134.66</v>
      </c>
    </row>
    <row r="203" spans="1:7">
      <c r="A203" t="s">
        <v>41</v>
      </c>
      <c r="B203" t="s">
        <v>42</v>
      </c>
      <c r="C203" t="s">
        <v>9</v>
      </c>
      <c r="D203" t="s">
        <v>18</v>
      </c>
      <c r="E203" t="s">
        <v>19</v>
      </c>
      <c r="F203">
        <v>70.5</v>
      </c>
      <c r="G203" s="1">
        <v>71.38</v>
      </c>
    </row>
    <row r="204" spans="1:7">
      <c r="A204" t="s">
        <v>41</v>
      </c>
      <c r="B204" t="s">
        <v>42</v>
      </c>
      <c r="C204" t="s">
        <v>12</v>
      </c>
      <c r="D204" t="s">
        <v>18</v>
      </c>
      <c r="E204" t="s">
        <v>19</v>
      </c>
      <c r="F204">
        <v>94</v>
      </c>
      <c r="G204" s="1">
        <v>95.13</v>
      </c>
    </row>
    <row r="205" spans="1:7">
      <c r="A205" t="s">
        <v>41</v>
      </c>
      <c r="B205" t="s">
        <v>42</v>
      </c>
      <c r="C205" t="s">
        <v>13</v>
      </c>
      <c r="D205" t="s">
        <v>18</v>
      </c>
      <c r="E205" t="s">
        <v>19</v>
      </c>
      <c r="F205">
        <v>70.5</v>
      </c>
      <c r="G205" s="1">
        <v>70.39</v>
      </c>
    </row>
    <row r="206" spans="1:7">
      <c r="A206" t="s">
        <v>41</v>
      </c>
      <c r="B206" t="s">
        <v>42</v>
      </c>
      <c r="C206" t="s">
        <v>9</v>
      </c>
      <c r="D206" t="s">
        <v>10</v>
      </c>
      <c r="E206" t="s">
        <v>20</v>
      </c>
      <c r="F206">
        <v>135.30000000000001</v>
      </c>
      <c r="G206" s="1">
        <v>130.76</v>
      </c>
    </row>
    <row r="207" spans="1:7">
      <c r="A207" t="s">
        <v>41</v>
      </c>
      <c r="B207" t="s">
        <v>42</v>
      </c>
      <c r="C207" t="s">
        <v>12</v>
      </c>
      <c r="D207" t="s">
        <v>10</v>
      </c>
      <c r="E207" t="s">
        <v>20</v>
      </c>
      <c r="F207">
        <v>180.4</v>
      </c>
      <c r="G207" s="1">
        <v>182.57</v>
      </c>
    </row>
    <row r="208" spans="1:7">
      <c r="A208" t="s">
        <v>41</v>
      </c>
      <c r="B208" t="s">
        <v>42</v>
      </c>
      <c r="C208" t="s">
        <v>13</v>
      </c>
      <c r="D208" t="s">
        <v>10</v>
      </c>
      <c r="E208" t="s">
        <v>20</v>
      </c>
      <c r="F208">
        <v>135.30000000000001</v>
      </c>
      <c r="G208" s="1">
        <v>138.04</v>
      </c>
    </row>
    <row r="209" spans="1:7">
      <c r="A209" t="s">
        <v>41</v>
      </c>
      <c r="B209" t="s">
        <v>42</v>
      </c>
      <c r="C209" t="s">
        <v>9</v>
      </c>
      <c r="D209" t="s">
        <v>21</v>
      </c>
      <c r="E209" t="s">
        <v>22</v>
      </c>
      <c r="F209">
        <v>136.80000000000001</v>
      </c>
      <c r="G209" s="1">
        <v>133.62</v>
      </c>
    </row>
    <row r="210" spans="1:7">
      <c r="A210" t="s">
        <v>41</v>
      </c>
      <c r="B210" t="s">
        <v>42</v>
      </c>
      <c r="C210" t="s">
        <v>12</v>
      </c>
      <c r="D210" t="s">
        <v>21</v>
      </c>
      <c r="E210" t="s">
        <v>22</v>
      </c>
      <c r="F210">
        <v>182.4</v>
      </c>
      <c r="G210" s="1">
        <v>189.11</v>
      </c>
    </row>
    <row r="211" spans="1:7">
      <c r="A211" t="s">
        <v>41</v>
      </c>
      <c r="B211" t="s">
        <v>42</v>
      </c>
      <c r="C211" t="s">
        <v>13</v>
      </c>
      <c r="D211" t="s">
        <v>21</v>
      </c>
      <c r="E211" t="s">
        <v>22</v>
      </c>
      <c r="F211">
        <v>136.80000000000001</v>
      </c>
      <c r="G211" s="1">
        <v>137.41999999999999</v>
      </c>
    </row>
    <row r="212" spans="1:7">
      <c r="A212" t="s">
        <v>41</v>
      </c>
      <c r="B212" t="s">
        <v>42</v>
      </c>
      <c r="C212" t="s">
        <v>9</v>
      </c>
      <c r="D212" t="s">
        <v>23</v>
      </c>
      <c r="E212" t="s">
        <v>24</v>
      </c>
      <c r="F212">
        <v>22.5</v>
      </c>
      <c r="G212" s="1">
        <v>23.25</v>
      </c>
    </row>
    <row r="213" spans="1:7">
      <c r="A213" t="s">
        <v>41</v>
      </c>
      <c r="B213" t="s">
        <v>42</v>
      </c>
      <c r="C213" t="s">
        <v>12</v>
      </c>
      <c r="D213" t="s">
        <v>23</v>
      </c>
      <c r="E213" t="s">
        <v>24</v>
      </c>
      <c r="F213">
        <v>30</v>
      </c>
      <c r="G213" s="1">
        <v>28.88</v>
      </c>
    </row>
    <row r="214" spans="1:7">
      <c r="A214" t="s">
        <v>41</v>
      </c>
      <c r="B214" t="s">
        <v>42</v>
      </c>
      <c r="C214" t="s">
        <v>13</v>
      </c>
      <c r="D214" t="s">
        <v>23</v>
      </c>
      <c r="E214" t="s">
        <v>24</v>
      </c>
      <c r="F214">
        <v>22.5</v>
      </c>
      <c r="G214" s="1">
        <v>21.4</v>
      </c>
    </row>
    <row r="215" spans="1:7">
      <c r="A215" t="s">
        <v>41</v>
      </c>
      <c r="B215" t="s">
        <v>42</v>
      </c>
      <c r="C215" t="s">
        <v>9</v>
      </c>
      <c r="D215" t="s">
        <v>25</v>
      </c>
      <c r="E215" t="s">
        <v>26</v>
      </c>
      <c r="F215">
        <v>1440</v>
      </c>
      <c r="G215" s="1">
        <v>1478.61</v>
      </c>
    </row>
    <row r="216" spans="1:7">
      <c r="A216" t="s">
        <v>41</v>
      </c>
      <c r="B216" t="s">
        <v>42</v>
      </c>
      <c r="C216" t="s">
        <v>12</v>
      </c>
      <c r="D216" t="s">
        <v>25</v>
      </c>
      <c r="E216" t="s">
        <v>26</v>
      </c>
      <c r="F216">
        <v>1920</v>
      </c>
      <c r="G216" s="1">
        <v>1911.04</v>
      </c>
    </row>
    <row r="217" spans="1:7">
      <c r="A217" t="s">
        <v>41</v>
      </c>
      <c r="B217" t="s">
        <v>42</v>
      </c>
      <c r="C217" t="s">
        <v>13</v>
      </c>
      <c r="D217" t="s">
        <v>25</v>
      </c>
      <c r="E217" t="s">
        <v>26</v>
      </c>
      <c r="F217">
        <v>1440</v>
      </c>
      <c r="G217" s="1">
        <v>1429.74</v>
      </c>
    </row>
    <row r="218" spans="1:7">
      <c r="A218" t="s">
        <v>43</v>
      </c>
      <c r="B218" t="s">
        <v>44</v>
      </c>
      <c r="C218" t="s">
        <v>9</v>
      </c>
      <c r="D218" t="s">
        <v>10</v>
      </c>
      <c r="E218" t="s">
        <v>11</v>
      </c>
      <c r="F218">
        <v>120</v>
      </c>
      <c r="G218" s="1">
        <v>120.06</v>
      </c>
    </row>
    <row r="219" spans="1:7">
      <c r="A219" t="s">
        <v>43</v>
      </c>
      <c r="B219" t="s">
        <v>44</v>
      </c>
      <c r="C219" t="s">
        <v>12</v>
      </c>
      <c r="D219" t="s">
        <v>10</v>
      </c>
      <c r="E219" t="s">
        <v>11</v>
      </c>
      <c r="F219">
        <v>160</v>
      </c>
      <c r="G219" s="1">
        <v>156.83000000000001</v>
      </c>
    </row>
    <row r="220" spans="1:7">
      <c r="A220" t="s">
        <v>43</v>
      </c>
      <c r="B220" t="s">
        <v>44</v>
      </c>
      <c r="C220" t="s">
        <v>13</v>
      </c>
      <c r="D220" t="s">
        <v>10</v>
      </c>
      <c r="E220" t="s">
        <v>11</v>
      </c>
      <c r="F220">
        <v>120</v>
      </c>
      <c r="G220" s="1">
        <v>114.57</v>
      </c>
    </row>
    <row r="221" spans="1:7">
      <c r="A221" t="s">
        <v>43</v>
      </c>
      <c r="B221" t="s">
        <v>44</v>
      </c>
      <c r="C221" t="s">
        <v>9</v>
      </c>
      <c r="D221" t="s">
        <v>14</v>
      </c>
      <c r="E221" t="s">
        <v>15</v>
      </c>
      <c r="F221">
        <v>135</v>
      </c>
      <c r="G221" s="1">
        <v>138.03</v>
      </c>
    </row>
    <row r="222" spans="1:7">
      <c r="A222" t="s">
        <v>43</v>
      </c>
      <c r="B222" t="s">
        <v>44</v>
      </c>
      <c r="C222" t="s">
        <v>12</v>
      </c>
      <c r="D222" t="s">
        <v>14</v>
      </c>
      <c r="E222" t="s">
        <v>15</v>
      </c>
      <c r="F222">
        <v>180</v>
      </c>
      <c r="G222" s="1">
        <v>176.57</v>
      </c>
    </row>
    <row r="223" spans="1:7">
      <c r="A223" t="s">
        <v>43</v>
      </c>
      <c r="B223" t="s">
        <v>44</v>
      </c>
      <c r="C223" t="s">
        <v>13</v>
      </c>
      <c r="D223" t="s">
        <v>14</v>
      </c>
      <c r="E223" t="s">
        <v>15</v>
      </c>
      <c r="F223">
        <v>135</v>
      </c>
      <c r="G223" s="1">
        <v>136.88999999999999</v>
      </c>
    </row>
    <row r="224" spans="1:7">
      <c r="A224" t="s">
        <v>43</v>
      </c>
      <c r="B224" t="s">
        <v>44</v>
      </c>
      <c r="C224" t="s">
        <v>9</v>
      </c>
      <c r="D224" t="s">
        <v>16</v>
      </c>
      <c r="E224" t="s">
        <v>17</v>
      </c>
      <c r="F224">
        <v>135.9</v>
      </c>
      <c r="G224" s="1">
        <v>138.19</v>
      </c>
    </row>
    <row r="225" spans="1:7">
      <c r="A225" t="s">
        <v>43</v>
      </c>
      <c r="B225" t="s">
        <v>44</v>
      </c>
      <c r="C225" t="s">
        <v>12</v>
      </c>
      <c r="D225" t="s">
        <v>16</v>
      </c>
      <c r="E225" t="s">
        <v>17</v>
      </c>
      <c r="F225">
        <v>181.2</v>
      </c>
      <c r="G225" s="1">
        <v>177.11</v>
      </c>
    </row>
    <row r="226" spans="1:7">
      <c r="A226" t="s">
        <v>43</v>
      </c>
      <c r="B226" t="s">
        <v>44</v>
      </c>
      <c r="C226" t="s">
        <v>13</v>
      </c>
      <c r="D226" t="s">
        <v>16</v>
      </c>
      <c r="E226" t="s">
        <v>17</v>
      </c>
      <c r="F226">
        <v>135.9</v>
      </c>
      <c r="G226" s="1">
        <v>139.43</v>
      </c>
    </row>
    <row r="227" spans="1:7">
      <c r="A227" t="s">
        <v>43</v>
      </c>
      <c r="B227" t="s">
        <v>44</v>
      </c>
      <c r="C227" t="s">
        <v>9</v>
      </c>
      <c r="D227" t="s">
        <v>18</v>
      </c>
      <c r="E227" t="s">
        <v>19</v>
      </c>
      <c r="F227">
        <v>70.5</v>
      </c>
      <c r="G227" s="1">
        <v>70.22</v>
      </c>
    </row>
    <row r="228" spans="1:7">
      <c r="A228" t="s">
        <v>43</v>
      </c>
      <c r="B228" t="s">
        <v>44</v>
      </c>
      <c r="C228" t="s">
        <v>12</v>
      </c>
      <c r="D228" t="s">
        <v>18</v>
      </c>
      <c r="E228" t="s">
        <v>19</v>
      </c>
      <c r="F228">
        <v>94</v>
      </c>
      <c r="G228" s="1">
        <v>96.78</v>
      </c>
    </row>
    <row r="229" spans="1:7">
      <c r="A229" t="s">
        <v>43</v>
      </c>
      <c r="B229" t="s">
        <v>44</v>
      </c>
      <c r="C229" t="s">
        <v>13</v>
      </c>
      <c r="D229" t="s">
        <v>18</v>
      </c>
      <c r="E229" t="s">
        <v>19</v>
      </c>
      <c r="F229">
        <v>70.5</v>
      </c>
      <c r="G229" s="1">
        <v>71.069999999999993</v>
      </c>
    </row>
    <row r="230" spans="1:7">
      <c r="A230" t="s">
        <v>43</v>
      </c>
      <c r="B230" t="s">
        <v>44</v>
      </c>
      <c r="C230" t="s">
        <v>9</v>
      </c>
      <c r="D230" t="s">
        <v>10</v>
      </c>
      <c r="E230" t="s">
        <v>20</v>
      </c>
      <c r="F230">
        <v>135.30000000000001</v>
      </c>
      <c r="G230" s="1">
        <v>141.96</v>
      </c>
    </row>
    <row r="231" spans="1:7">
      <c r="A231" t="s">
        <v>43</v>
      </c>
      <c r="B231" t="s">
        <v>44</v>
      </c>
      <c r="C231" t="s">
        <v>12</v>
      </c>
      <c r="D231" t="s">
        <v>10</v>
      </c>
      <c r="E231" t="s">
        <v>20</v>
      </c>
      <c r="F231">
        <v>180.4</v>
      </c>
      <c r="G231" s="1">
        <v>178.6</v>
      </c>
    </row>
    <row r="232" spans="1:7">
      <c r="A232" t="s">
        <v>43</v>
      </c>
      <c r="B232" t="s">
        <v>44</v>
      </c>
      <c r="C232" t="s">
        <v>13</v>
      </c>
      <c r="D232" t="s">
        <v>10</v>
      </c>
      <c r="E232" t="s">
        <v>20</v>
      </c>
      <c r="F232">
        <v>135.30000000000001</v>
      </c>
      <c r="G232" s="1">
        <v>139.75</v>
      </c>
    </row>
    <row r="233" spans="1:7">
      <c r="A233" t="s">
        <v>43</v>
      </c>
      <c r="B233" t="s">
        <v>44</v>
      </c>
      <c r="C233" t="s">
        <v>9</v>
      </c>
      <c r="D233" t="s">
        <v>21</v>
      </c>
      <c r="E233" t="s">
        <v>22</v>
      </c>
      <c r="F233">
        <v>136.80000000000001</v>
      </c>
      <c r="G233" s="1">
        <v>142.19</v>
      </c>
    </row>
    <row r="234" spans="1:7">
      <c r="A234" t="s">
        <v>43</v>
      </c>
      <c r="B234" t="s">
        <v>44</v>
      </c>
      <c r="C234" t="s">
        <v>12</v>
      </c>
      <c r="D234" t="s">
        <v>21</v>
      </c>
      <c r="E234" t="s">
        <v>22</v>
      </c>
      <c r="F234">
        <v>182.4</v>
      </c>
      <c r="G234" s="1">
        <v>177.73</v>
      </c>
    </row>
    <row r="235" spans="1:7">
      <c r="A235" t="s">
        <v>43</v>
      </c>
      <c r="B235" t="s">
        <v>44</v>
      </c>
      <c r="C235" t="s">
        <v>13</v>
      </c>
      <c r="D235" t="s">
        <v>21</v>
      </c>
      <c r="E235" t="s">
        <v>22</v>
      </c>
      <c r="F235">
        <v>136.80000000000001</v>
      </c>
      <c r="G235" s="1">
        <v>140.83000000000001</v>
      </c>
    </row>
    <row r="236" spans="1:7">
      <c r="A236" t="s">
        <v>43</v>
      </c>
      <c r="B236" t="s">
        <v>44</v>
      </c>
      <c r="C236" t="s">
        <v>9</v>
      </c>
      <c r="D236" t="s">
        <v>23</v>
      </c>
      <c r="E236" t="s">
        <v>24</v>
      </c>
      <c r="F236">
        <v>22.5</v>
      </c>
      <c r="G236" s="1">
        <v>21.38</v>
      </c>
    </row>
    <row r="237" spans="1:7">
      <c r="A237" t="s">
        <v>43</v>
      </c>
      <c r="B237" t="s">
        <v>44</v>
      </c>
      <c r="C237" t="s">
        <v>12</v>
      </c>
      <c r="D237" t="s">
        <v>23</v>
      </c>
      <c r="E237" t="s">
        <v>24</v>
      </c>
      <c r="F237">
        <v>30</v>
      </c>
      <c r="G237" s="1">
        <v>29.56</v>
      </c>
    </row>
    <row r="238" spans="1:7">
      <c r="A238" t="s">
        <v>43</v>
      </c>
      <c r="B238" t="s">
        <v>44</v>
      </c>
      <c r="C238" t="s">
        <v>13</v>
      </c>
      <c r="D238" t="s">
        <v>23</v>
      </c>
      <c r="E238" t="s">
        <v>24</v>
      </c>
      <c r="F238">
        <v>22.5</v>
      </c>
      <c r="G238" s="1">
        <v>23.49</v>
      </c>
    </row>
    <row r="239" spans="1:7">
      <c r="A239" t="s">
        <v>43</v>
      </c>
      <c r="B239" t="s">
        <v>44</v>
      </c>
      <c r="C239" t="s">
        <v>9</v>
      </c>
      <c r="D239" t="s">
        <v>25</v>
      </c>
      <c r="E239" t="s">
        <v>26</v>
      </c>
      <c r="F239">
        <v>1440</v>
      </c>
      <c r="G239" s="1">
        <v>1509.42</v>
      </c>
    </row>
    <row r="240" spans="1:7">
      <c r="A240" t="s">
        <v>43</v>
      </c>
      <c r="B240" t="s">
        <v>44</v>
      </c>
      <c r="C240" t="s">
        <v>12</v>
      </c>
      <c r="D240" t="s">
        <v>25</v>
      </c>
      <c r="E240" t="s">
        <v>26</v>
      </c>
      <c r="F240">
        <v>1920</v>
      </c>
      <c r="G240" s="1">
        <v>1915.1</v>
      </c>
    </row>
    <row r="241" spans="1:7">
      <c r="A241" t="s">
        <v>43</v>
      </c>
      <c r="B241" t="s">
        <v>44</v>
      </c>
      <c r="C241" t="s">
        <v>13</v>
      </c>
      <c r="D241" t="s">
        <v>25</v>
      </c>
      <c r="E241" t="s">
        <v>26</v>
      </c>
      <c r="F241">
        <v>1440</v>
      </c>
      <c r="G241" s="1">
        <v>1454.04</v>
      </c>
    </row>
    <row r="242" spans="1:7">
      <c r="A242" t="s">
        <v>45</v>
      </c>
      <c r="B242" t="s">
        <v>46</v>
      </c>
      <c r="C242" t="s">
        <v>9</v>
      </c>
      <c r="D242" t="s">
        <v>10</v>
      </c>
      <c r="E242" t="s">
        <v>11</v>
      </c>
      <c r="F242">
        <v>120</v>
      </c>
      <c r="G242" s="1">
        <v>121.81</v>
      </c>
    </row>
    <row r="243" spans="1:7">
      <c r="A243" t="s">
        <v>45</v>
      </c>
      <c r="B243" t="s">
        <v>46</v>
      </c>
      <c r="C243" t="s">
        <v>12</v>
      </c>
      <c r="D243" t="s">
        <v>10</v>
      </c>
      <c r="E243" t="s">
        <v>11</v>
      </c>
      <c r="F243">
        <v>160</v>
      </c>
      <c r="G243" s="1">
        <v>155.69</v>
      </c>
    </row>
    <row r="244" spans="1:7">
      <c r="A244" t="s">
        <v>45</v>
      </c>
      <c r="B244" t="s">
        <v>46</v>
      </c>
      <c r="C244" t="s">
        <v>13</v>
      </c>
      <c r="D244" t="s">
        <v>10</v>
      </c>
      <c r="E244" t="s">
        <v>11</v>
      </c>
      <c r="F244">
        <v>120</v>
      </c>
      <c r="G244" s="1">
        <v>123.3</v>
      </c>
    </row>
    <row r="245" spans="1:7">
      <c r="A245" t="s">
        <v>45</v>
      </c>
      <c r="B245" t="s">
        <v>46</v>
      </c>
      <c r="C245" t="s">
        <v>9</v>
      </c>
      <c r="D245" t="s">
        <v>14</v>
      </c>
      <c r="E245" t="s">
        <v>15</v>
      </c>
      <c r="F245">
        <v>135</v>
      </c>
      <c r="G245" s="1">
        <v>128.44999999999999</v>
      </c>
    </row>
    <row r="246" spans="1:7">
      <c r="A246" t="s">
        <v>45</v>
      </c>
      <c r="B246" t="s">
        <v>46</v>
      </c>
      <c r="C246" t="s">
        <v>12</v>
      </c>
      <c r="D246" t="s">
        <v>14</v>
      </c>
      <c r="E246" t="s">
        <v>15</v>
      </c>
      <c r="F246">
        <v>180</v>
      </c>
      <c r="G246" s="1">
        <v>181.14</v>
      </c>
    </row>
    <row r="247" spans="1:7">
      <c r="A247" t="s">
        <v>45</v>
      </c>
      <c r="B247" t="s">
        <v>46</v>
      </c>
      <c r="C247" t="s">
        <v>13</v>
      </c>
      <c r="D247" t="s">
        <v>14</v>
      </c>
      <c r="E247" t="s">
        <v>15</v>
      </c>
      <c r="F247">
        <v>135</v>
      </c>
      <c r="G247" s="1">
        <v>129.54</v>
      </c>
    </row>
    <row r="248" spans="1:7">
      <c r="A248" t="s">
        <v>45</v>
      </c>
      <c r="B248" t="s">
        <v>46</v>
      </c>
      <c r="C248" t="s">
        <v>9</v>
      </c>
      <c r="D248" t="s">
        <v>16</v>
      </c>
      <c r="E248" t="s">
        <v>17</v>
      </c>
      <c r="F248">
        <v>135.9</v>
      </c>
      <c r="G248" s="1">
        <v>140.88</v>
      </c>
    </row>
    <row r="249" spans="1:7">
      <c r="A249" t="s">
        <v>45</v>
      </c>
      <c r="B249" t="s">
        <v>46</v>
      </c>
      <c r="C249" t="s">
        <v>12</v>
      </c>
      <c r="D249" t="s">
        <v>16</v>
      </c>
      <c r="E249" t="s">
        <v>17</v>
      </c>
      <c r="F249">
        <v>181.2</v>
      </c>
      <c r="G249" s="1">
        <v>184.41</v>
      </c>
    </row>
    <row r="250" spans="1:7">
      <c r="A250" t="s">
        <v>45</v>
      </c>
      <c r="B250" t="s">
        <v>46</v>
      </c>
      <c r="C250" t="s">
        <v>13</v>
      </c>
      <c r="D250" t="s">
        <v>16</v>
      </c>
      <c r="E250" t="s">
        <v>17</v>
      </c>
      <c r="F250">
        <v>135.9</v>
      </c>
      <c r="G250" s="1">
        <v>141.91999999999999</v>
      </c>
    </row>
    <row r="251" spans="1:7">
      <c r="A251" t="s">
        <v>45</v>
      </c>
      <c r="B251" t="s">
        <v>46</v>
      </c>
      <c r="C251" t="s">
        <v>9</v>
      </c>
      <c r="D251" t="s">
        <v>18</v>
      </c>
      <c r="E251" t="s">
        <v>19</v>
      </c>
      <c r="F251">
        <v>70.5</v>
      </c>
      <c r="G251" s="1">
        <v>70.37</v>
      </c>
    </row>
    <row r="252" spans="1:7">
      <c r="A252" t="s">
        <v>45</v>
      </c>
      <c r="B252" t="s">
        <v>46</v>
      </c>
      <c r="C252" t="s">
        <v>12</v>
      </c>
      <c r="D252" t="s">
        <v>18</v>
      </c>
      <c r="E252" t="s">
        <v>19</v>
      </c>
      <c r="F252">
        <v>94</v>
      </c>
      <c r="G252" s="1">
        <v>93.33</v>
      </c>
    </row>
    <row r="253" spans="1:7">
      <c r="A253" t="s">
        <v>45</v>
      </c>
      <c r="B253" t="s">
        <v>46</v>
      </c>
      <c r="C253" t="s">
        <v>13</v>
      </c>
      <c r="D253" t="s">
        <v>18</v>
      </c>
      <c r="E253" t="s">
        <v>19</v>
      </c>
      <c r="F253">
        <v>70.5</v>
      </c>
      <c r="G253" s="1">
        <v>68.48</v>
      </c>
    </row>
    <row r="254" spans="1:7">
      <c r="A254" t="s">
        <v>45</v>
      </c>
      <c r="B254" t="s">
        <v>46</v>
      </c>
      <c r="C254" t="s">
        <v>9</v>
      </c>
      <c r="D254" t="s">
        <v>10</v>
      </c>
      <c r="E254" t="s">
        <v>20</v>
      </c>
      <c r="F254">
        <v>135.30000000000001</v>
      </c>
      <c r="G254" s="1">
        <v>129.43</v>
      </c>
    </row>
    <row r="255" spans="1:7">
      <c r="A255" t="s">
        <v>45</v>
      </c>
      <c r="B255" t="s">
        <v>46</v>
      </c>
      <c r="C255" t="s">
        <v>12</v>
      </c>
      <c r="D255" t="s">
        <v>10</v>
      </c>
      <c r="E255" t="s">
        <v>20</v>
      </c>
      <c r="F255">
        <v>180.4</v>
      </c>
      <c r="G255" s="1">
        <v>175.53</v>
      </c>
    </row>
    <row r="256" spans="1:7">
      <c r="A256" t="s">
        <v>45</v>
      </c>
      <c r="B256" t="s">
        <v>46</v>
      </c>
      <c r="C256" t="s">
        <v>13</v>
      </c>
      <c r="D256" t="s">
        <v>10</v>
      </c>
      <c r="E256" t="s">
        <v>20</v>
      </c>
      <c r="F256">
        <v>135.30000000000001</v>
      </c>
      <c r="G256" s="1">
        <v>135.99</v>
      </c>
    </row>
    <row r="257" spans="1:7">
      <c r="A257" t="s">
        <v>45</v>
      </c>
      <c r="B257" t="s">
        <v>46</v>
      </c>
      <c r="C257" t="s">
        <v>9</v>
      </c>
      <c r="D257" t="s">
        <v>21</v>
      </c>
      <c r="E257" t="s">
        <v>22</v>
      </c>
      <c r="F257">
        <v>136.80000000000001</v>
      </c>
      <c r="G257" s="1">
        <v>142.97999999999999</v>
      </c>
    </row>
    <row r="258" spans="1:7">
      <c r="A258" t="s">
        <v>45</v>
      </c>
      <c r="B258" t="s">
        <v>46</v>
      </c>
      <c r="C258" t="s">
        <v>12</v>
      </c>
      <c r="D258" t="s">
        <v>21</v>
      </c>
      <c r="E258" t="s">
        <v>22</v>
      </c>
      <c r="F258">
        <v>182.4</v>
      </c>
      <c r="G258" s="1">
        <v>186.76</v>
      </c>
    </row>
    <row r="259" spans="1:7">
      <c r="A259" t="s">
        <v>45</v>
      </c>
      <c r="B259" t="s">
        <v>46</v>
      </c>
      <c r="C259" t="s">
        <v>13</v>
      </c>
      <c r="D259" t="s">
        <v>21</v>
      </c>
      <c r="E259" t="s">
        <v>22</v>
      </c>
      <c r="F259">
        <v>136.80000000000001</v>
      </c>
      <c r="G259" s="1">
        <v>130.19</v>
      </c>
    </row>
    <row r="260" spans="1:7">
      <c r="A260" t="s">
        <v>45</v>
      </c>
      <c r="B260" t="s">
        <v>46</v>
      </c>
      <c r="C260" t="s">
        <v>9</v>
      </c>
      <c r="D260" t="s">
        <v>23</v>
      </c>
      <c r="E260" t="s">
        <v>24</v>
      </c>
      <c r="F260">
        <v>22.5</v>
      </c>
      <c r="G260" s="1">
        <v>21.89</v>
      </c>
    </row>
    <row r="261" spans="1:7">
      <c r="A261" t="s">
        <v>45</v>
      </c>
      <c r="B261" t="s">
        <v>46</v>
      </c>
      <c r="C261" t="s">
        <v>12</v>
      </c>
      <c r="D261" t="s">
        <v>23</v>
      </c>
      <c r="E261" t="s">
        <v>24</v>
      </c>
      <c r="F261">
        <v>30</v>
      </c>
      <c r="G261" s="1">
        <v>28.93</v>
      </c>
    </row>
    <row r="262" spans="1:7">
      <c r="A262" t="s">
        <v>45</v>
      </c>
      <c r="B262" t="s">
        <v>46</v>
      </c>
      <c r="C262" t="s">
        <v>13</v>
      </c>
      <c r="D262" t="s">
        <v>23</v>
      </c>
      <c r="E262" t="s">
        <v>24</v>
      </c>
      <c r="F262">
        <v>22.5</v>
      </c>
      <c r="G262" s="1">
        <v>23.29</v>
      </c>
    </row>
    <row r="263" spans="1:7">
      <c r="A263" t="s">
        <v>45</v>
      </c>
      <c r="B263" t="s">
        <v>46</v>
      </c>
      <c r="C263" t="s">
        <v>9</v>
      </c>
      <c r="D263" t="s">
        <v>25</v>
      </c>
      <c r="E263" t="s">
        <v>26</v>
      </c>
      <c r="F263">
        <v>1440</v>
      </c>
      <c r="G263" s="1">
        <v>1457.36</v>
      </c>
    </row>
    <row r="264" spans="1:7">
      <c r="A264" t="s">
        <v>45</v>
      </c>
      <c r="B264" t="s">
        <v>46</v>
      </c>
      <c r="C264" t="s">
        <v>12</v>
      </c>
      <c r="D264" t="s">
        <v>25</v>
      </c>
      <c r="E264" t="s">
        <v>26</v>
      </c>
      <c r="F264">
        <v>1920</v>
      </c>
      <c r="G264" s="1">
        <v>1882.54</v>
      </c>
    </row>
    <row r="265" spans="1:7">
      <c r="A265" t="s">
        <v>45</v>
      </c>
      <c r="B265" t="s">
        <v>46</v>
      </c>
      <c r="C265" t="s">
        <v>13</v>
      </c>
      <c r="D265" t="s">
        <v>25</v>
      </c>
      <c r="E265" t="s">
        <v>26</v>
      </c>
      <c r="F265">
        <v>1440</v>
      </c>
      <c r="G265" s="1">
        <v>1434.5</v>
      </c>
    </row>
    <row r="266" spans="1:7">
      <c r="A266" t="s">
        <v>47</v>
      </c>
      <c r="B266" t="s">
        <v>48</v>
      </c>
      <c r="C266" t="s">
        <v>9</v>
      </c>
      <c r="D266" t="s">
        <v>10</v>
      </c>
      <c r="E266" t="s">
        <v>11</v>
      </c>
      <c r="F266">
        <v>120</v>
      </c>
      <c r="G266" s="1">
        <v>121.02</v>
      </c>
    </row>
    <row r="267" spans="1:7">
      <c r="A267" t="s">
        <v>47</v>
      </c>
      <c r="B267" t="s">
        <v>48</v>
      </c>
      <c r="C267" t="s">
        <v>12</v>
      </c>
      <c r="D267" t="s">
        <v>10</v>
      </c>
      <c r="E267" t="s">
        <v>11</v>
      </c>
      <c r="F267">
        <v>160</v>
      </c>
      <c r="G267" s="1">
        <v>152.08000000000001</v>
      </c>
    </row>
    <row r="268" spans="1:7">
      <c r="A268" t="s">
        <v>47</v>
      </c>
      <c r="B268" t="s">
        <v>48</v>
      </c>
      <c r="C268" t="s">
        <v>13</v>
      </c>
      <c r="D268" t="s">
        <v>10</v>
      </c>
      <c r="E268" t="s">
        <v>11</v>
      </c>
      <c r="F268">
        <v>120</v>
      </c>
      <c r="G268" s="1">
        <v>118.02</v>
      </c>
    </row>
    <row r="269" spans="1:7">
      <c r="A269" t="s">
        <v>47</v>
      </c>
      <c r="B269" t="s">
        <v>48</v>
      </c>
      <c r="C269" t="s">
        <v>9</v>
      </c>
      <c r="D269" t="s">
        <v>14</v>
      </c>
      <c r="E269" t="s">
        <v>15</v>
      </c>
      <c r="F269">
        <v>135</v>
      </c>
      <c r="G269" s="1">
        <v>133.61000000000001</v>
      </c>
    </row>
    <row r="270" spans="1:7">
      <c r="A270" t="s">
        <v>47</v>
      </c>
      <c r="B270" t="s">
        <v>48</v>
      </c>
      <c r="C270" t="s">
        <v>12</v>
      </c>
      <c r="D270" t="s">
        <v>14</v>
      </c>
      <c r="E270" t="s">
        <v>15</v>
      </c>
      <c r="F270">
        <v>180</v>
      </c>
      <c r="G270" s="1">
        <v>177.92</v>
      </c>
    </row>
    <row r="271" spans="1:7">
      <c r="A271" t="s">
        <v>47</v>
      </c>
      <c r="B271" t="s">
        <v>48</v>
      </c>
      <c r="C271" t="s">
        <v>13</v>
      </c>
      <c r="D271" t="s">
        <v>14</v>
      </c>
      <c r="E271" t="s">
        <v>15</v>
      </c>
      <c r="F271">
        <v>135</v>
      </c>
      <c r="G271" s="1">
        <v>141.01</v>
      </c>
    </row>
    <row r="272" spans="1:7">
      <c r="A272" t="s">
        <v>47</v>
      </c>
      <c r="B272" t="s">
        <v>48</v>
      </c>
      <c r="C272" t="s">
        <v>9</v>
      </c>
      <c r="D272" t="s">
        <v>16</v>
      </c>
      <c r="E272" t="s">
        <v>17</v>
      </c>
      <c r="F272">
        <v>135.9</v>
      </c>
      <c r="G272" s="1">
        <v>129.33000000000001</v>
      </c>
    </row>
    <row r="273" spans="1:7">
      <c r="A273" t="s">
        <v>47</v>
      </c>
      <c r="B273" t="s">
        <v>48</v>
      </c>
      <c r="C273" t="s">
        <v>12</v>
      </c>
      <c r="D273" t="s">
        <v>16</v>
      </c>
      <c r="E273" t="s">
        <v>17</v>
      </c>
      <c r="F273">
        <v>181.2</v>
      </c>
      <c r="G273" s="1">
        <v>177.31</v>
      </c>
    </row>
    <row r="274" spans="1:7">
      <c r="A274" t="s">
        <v>47</v>
      </c>
      <c r="B274" t="s">
        <v>48</v>
      </c>
      <c r="C274" t="s">
        <v>13</v>
      </c>
      <c r="D274" t="s">
        <v>16</v>
      </c>
      <c r="E274" t="s">
        <v>17</v>
      </c>
      <c r="F274">
        <v>135.9</v>
      </c>
      <c r="G274" s="1">
        <v>138.29</v>
      </c>
    </row>
    <row r="275" spans="1:7">
      <c r="A275" t="s">
        <v>47</v>
      </c>
      <c r="B275" t="s">
        <v>48</v>
      </c>
      <c r="C275" t="s">
        <v>9</v>
      </c>
      <c r="D275" t="s">
        <v>18</v>
      </c>
      <c r="E275" t="s">
        <v>19</v>
      </c>
      <c r="F275">
        <v>70.5</v>
      </c>
      <c r="G275" s="1">
        <v>69.95</v>
      </c>
    </row>
    <row r="276" spans="1:7">
      <c r="A276" t="s">
        <v>47</v>
      </c>
      <c r="B276" t="s">
        <v>48</v>
      </c>
      <c r="C276" t="s">
        <v>12</v>
      </c>
      <c r="D276" t="s">
        <v>18</v>
      </c>
      <c r="E276" t="s">
        <v>19</v>
      </c>
      <c r="F276">
        <v>94</v>
      </c>
      <c r="G276" s="1">
        <v>94.51</v>
      </c>
    </row>
    <row r="277" spans="1:7">
      <c r="A277" t="s">
        <v>47</v>
      </c>
      <c r="B277" t="s">
        <v>48</v>
      </c>
      <c r="C277" t="s">
        <v>13</v>
      </c>
      <c r="D277" t="s">
        <v>18</v>
      </c>
      <c r="E277" t="s">
        <v>19</v>
      </c>
      <c r="F277">
        <v>70.5</v>
      </c>
      <c r="G277" s="1">
        <v>69.819999999999993</v>
      </c>
    </row>
    <row r="278" spans="1:7">
      <c r="A278" t="s">
        <v>47</v>
      </c>
      <c r="B278" t="s">
        <v>48</v>
      </c>
      <c r="C278" t="s">
        <v>9</v>
      </c>
      <c r="D278" t="s">
        <v>10</v>
      </c>
      <c r="E278" t="s">
        <v>20</v>
      </c>
      <c r="F278">
        <v>135.30000000000001</v>
      </c>
      <c r="G278" s="1">
        <v>140.83000000000001</v>
      </c>
    </row>
    <row r="279" spans="1:7">
      <c r="A279" t="s">
        <v>47</v>
      </c>
      <c r="B279" t="s">
        <v>48</v>
      </c>
      <c r="C279" t="s">
        <v>12</v>
      </c>
      <c r="D279" t="s">
        <v>10</v>
      </c>
      <c r="E279" t="s">
        <v>20</v>
      </c>
      <c r="F279">
        <v>180.4</v>
      </c>
      <c r="G279" s="1">
        <v>187.85</v>
      </c>
    </row>
    <row r="280" spans="1:7">
      <c r="A280" t="s">
        <v>47</v>
      </c>
      <c r="B280" t="s">
        <v>48</v>
      </c>
      <c r="C280" t="s">
        <v>13</v>
      </c>
      <c r="D280" t="s">
        <v>10</v>
      </c>
      <c r="E280" t="s">
        <v>20</v>
      </c>
      <c r="F280">
        <v>135.30000000000001</v>
      </c>
      <c r="G280" s="1">
        <v>133.04</v>
      </c>
    </row>
    <row r="281" spans="1:7">
      <c r="A281" t="s">
        <v>47</v>
      </c>
      <c r="B281" t="s">
        <v>48</v>
      </c>
      <c r="C281" t="s">
        <v>9</v>
      </c>
      <c r="D281" t="s">
        <v>21</v>
      </c>
      <c r="E281" t="s">
        <v>22</v>
      </c>
      <c r="F281">
        <v>136.80000000000001</v>
      </c>
      <c r="G281" s="1">
        <v>137.84</v>
      </c>
    </row>
    <row r="282" spans="1:7">
      <c r="A282" t="s">
        <v>47</v>
      </c>
      <c r="B282" t="s">
        <v>48</v>
      </c>
      <c r="C282" t="s">
        <v>12</v>
      </c>
      <c r="D282" t="s">
        <v>21</v>
      </c>
      <c r="E282" t="s">
        <v>22</v>
      </c>
      <c r="F282">
        <v>182.4</v>
      </c>
      <c r="G282" s="1">
        <v>174.34</v>
      </c>
    </row>
    <row r="283" spans="1:7">
      <c r="A283" t="s">
        <v>47</v>
      </c>
      <c r="B283" t="s">
        <v>48</v>
      </c>
      <c r="C283" t="s">
        <v>13</v>
      </c>
      <c r="D283" t="s">
        <v>21</v>
      </c>
      <c r="E283" t="s">
        <v>22</v>
      </c>
      <c r="F283">
        <v>136.80000000000001</v>
      </c>
      <c r="G283" s="1">
        <v>135.44</v>
      </c>
    </row>
    <row r="284" spans="1:7">
      <c r="A284" t="s">
        <v>47</v>
      </c>
      <c r="B284" t="s">
        <v>48</v>
      </c>
      <c r="C284" t="s">
        <v>9</v>
      </c>
      <c r="D284" t="s">
        <v>23</v>
      </c>
      <c r="E284" t="s">
        <v>24</v>
      </c>
      <c r="F284">
        <v>22.5</v>
      </c>
      <c r="G284" s="1">
        <v>23.6</v>
      </c>
    </row>
    <row r="285" spans="1:7">
      <c r="A285" t="s">
        <v>47</v>
      </c>
      <c r="B285" t="s">
        <v>48</v>
      </c>
      <c r="C285" t="s">
        <v>12</v>
      </c>
      <c r="D285" t="s">
        <v>23</v>
      </c>
      <c r="E285" t="s">
        <v>24</v>
      </c>
      <c r="F285">
        <v>30</v>
      </c>
      <c r="G285" s="1">
        <v>29.04</v>
      </c>
    </row>
    <row r="286" spans="1:7">
      <c r="A286" t="s">
        <v>47</v>
      </c>
      <c r="B286" t="s">
        <v>48</v>
      </c>
      <c r="C286" t="s">
        <v>13</v>
      </c>
      <c r="D286" t="s">
        <v>23</v>
      </c>
      <c r="E286" t="s">
        <v>24</v>
      </c>
      <c r="F286">
        <v>22.5</v>
      </c>
      <c r="G286" s="1">
        <v>21.49</v>
      </c>
    </row>
    <row r="287" spans="1:7">
      <c r="A287" t="s">
        <v>47</v>
      </c>
      <c r="B287" t="s">
        <v>48</v>
      </c>
      <c r="C287" t="s">
        <v>9</v>
      </c>
      <c r="D287" t="s">
        <v>25</v>
      </c>
      <c r="E287" t="s">
        <v>26</v>
      </c>
      <c r="F287">
        <v>1440</v>
      </c>
      <c r="G287" s="1">
        <v>1500.55</v>
      </c>
    </row>
    <row r="288" spans="1:7">
      <c r="A288" t="s">
        <v>47</v>
      </c>
      <c r="B288" t="s">
        <v>48</v>
      </c>
      <c r="C288" t="s">
        <v>12</v>
      </c>
      <c r="D288" t="s">
        <v>25</v>
      </c>
      <c r="E288" t="s">
        <v>26</v>
      </c>
      <c r="F288">
        <v>1920</v>
      </c>
      <c r="G288" s="1">
        <v>1841.27</v>
      </c>
    </row>
    <row r="289" spans="1:7">
      <c r="A289" t="s">
        <v>47</v>
      </c>
      <c r="B289" t="s">
        <v>48</v>
      </c>
      <c r="C289" t="s">
        <v>13</v>
      </c>
      <c r="D289" t="s">
        <v>25</v>
      </c>
      <c r="E289" t="s">
        <v>26</v>
      </c>
      <c r="F289">
        <v>1440</v>
      </c>
      <c r="G289" s="1">
        <v>1483.06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BDB0-19D5-4C5C-A3F9-49F9C748DCCD}">
  <dimension ref="A1:H73"/>
  <sheetViews>
    <sheetView workbookViewId="0">
      <selection activeCell="J17" sqref="J17"/>
    </sheetView>
  </sheetViews>
  <sheetFormatPr baseColWidth="10" defaultColWidth="8.83203125" defaultRowHeight="15"/>
  <cols>
    <col min="4" max="4" width="10.1640625" customWidth="1"/>
    <col min="5" max="5" width="13.83203125" customWidth="1"/>
    <col min="6" max="6" width="17.33203125" customWidth="1"/>
    <col min="7" max="7" width="14.83203125" customWidth="1"/>
    <col min="8" max="8" width="18.8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  <c r="G1" t="s">
        <v>51</v>
      </c>
      <c r="H1" t="s">
        <v>52</v>
      </c>
    </row>
    <row r="2" spans="1:8">
      <c r="A2" t="s">
        <v>7</v>
      </c>
      <c r="B2" t="s">
        <v>8</v>
      </c>
      <c r="C2" t="s">
        <v>9</v>
      </c>
      <c r="D2" t="s">
        <v>53</v>
      </c>
      <c r="E2" t="s">
        <v>54</v>
      </c>
      <c r="F2">
        <v>3600</v>
      </c>
      <c r="G2" s="1">
        <v>3628.32</v>
      </c>
      <c r="H2" t="s">
        <v>55</v>
      </c>
    </row>
    <row r="3" spans="1:8">
      <c r="A3" t="s">
        <v>7</v>
      </c>
      <c r="B3" t="s">
        <v>8</v>
      </c>
      <c r="C3" t="s">
        <v>12</v>
      </c>
      <c r="D3" t="s">
        <v>53</v>
      </c>
      <c r="E3" t="s">
        <v>54</v>
      </c>
      <c r="F3">
        <v>4800</v>
      </c>
      <c r="G3" s="1">
        <v>4972.41</v>
      </c>
      <c r="H3" t="s">
        <v>56</v>
      </c>
    </row>
    <row r="4" spans="1:8">
      <c r="A4" t="s">
        <v>7</v>
      </c>
      <c r="B4" t="s">
        <v>8</v>
      </c>
      <c r="C4" t="s">
        <v>13</v>
      </c>
      <c r="D4" t="s">
        <v>53</v>
      </c>
      <c r="E4" t="s">
        <v>54</v>
      </c>
      <c r="F4">
        <v>3600</v>
      </c>
      <c r="G4" s="1">
        <v>3745.28</v>
      </c>
      <c r="H4" t="s">
        <v>57</v>
      </c>
    </row>
    <row r="5" spans="1:8">
      <c r="A5" t="s">
        <v>7</v>
      </c>
      <c r="B5" t="s">
        <v>8</v>
      </c>
      <c r="C5" t="s">
        <v>9</v>
      </c>
      <c r="D5" t="s">
        <v>53</v>
      </c>
      <c r="E5" t="s">
        <v>58</v>
      </c>
      <c r="F5">
        <v>1500</v>
      </c>
      <c r="G5" s="1">
        <v>1551.6</v>
      </c>
      <c r="H5" t="s">
        <v>59</v>
      </c>
    </row>
    <row r="6" spans="1:8">
      <c r="A6" t="s">
        <v>7</v>
      </c>
      <c r="B6" t="s">
        <v>8</v>
      </c>
      <c r="C6" t="s">
        <v>12</v>
      </c>
      <c r="D6" t="s">
        <v>53</v>
      </c>
      <c r="E6" t="s">
        <v>58</v>
      </c>
      <c r="F6">
        <v>2000</v>
      </c>
      <c r="G6" s="1">
        <v>2078.9</v>
      </c>
      <c r="H6" t="s">
        <v>60</v>
      </c>
    </row>
    <row r="7" spans="1:8">
      <c r="A7" t="s">
        <v>7</v>
      </c>
      <c r="B7" t="s">
        <v>8</v>
      </c>
      <c r="C7" t="s">
        <v>13</v>
      </c>
      <c r="D7" t="s">
        <v>53</v>
      </c>
      <c r="E7" t="s">
        <v>58</v>
      </c>
      <c r="F7">
        <v>1500</v>
      </c>
      <c r="G7" s="1">
        <v>1450.23</v>
      </c>
      <c r="H7" t="s">
        <v>61</v>
      </c>
    </row>
    <row r="8" spans="1:8">
      <c r="A8" t="s">
        <v>27</v>
      </c>
      <c r="B8" t="s">
        <v>28</v>
      </c>
      <c r="C8" t="s">
        <v>9</v>
      </c>
      <c r="D8" t="s">
        <v>53</v>
      </c>
      <c r="E8" t="s">
        <v>54</v>
      </c>
      <c r="F8">
        <v>3600</v>
      </c>
      <c r="G8" s="1">
        <v>3608.59</v>
      </c>
      <c r="H8" t="s">
        <v>56</v>
      </c>
    </row>
    <row r="9" spans="1:8">
      <c r="A9" t="s">
        <v>27</v>
      </c>
      <c r="B9" t="s">
        <v>28</v>
      </c>
      <c r="C9" t="s">
        <v>12</v>
      </c>
      <c r="D9" t="s">
        <v>53</v>
      </c>
      <c r="E9" t="s">
        <v>54</v>
      </c>
      <c r="F9">
        <v>4800</v>
      </c>
      <c r="G9" s="1">
        <v>5013.38</v>
      </c>
      <c r="H9" t="s">
        <v>56</v>
      </c>
    </row>
    <row r="10" spans="1:8">
      <c r="A10" t="s">
        <v>27</v>
      </c>
      <c r="B10" t="s">
        <v>28</v>
      </c>
      <c r="C10" t="s">
        <v>13</v>
      </c>
      <c r="D10" t="s">
        <v>53</v>
      </c>
      <c r="E10" t="s">
        <v>54</v>
      </c>
      <c r="F10">
        <v>3600</v>
      </c>
      <c r="G10" s="1">
        <v>3517.44</v>
      </c>
      <c r="H10" t="s">
        <v>62</v>
      </c>
    </row>
    <row r="11" spans="1:8">
      <c r="A11" t="s">
        <v>27</v>
      </c>
      <c r="B11" t="s">
        <v>28</v>
      </c>
      <c r="C11" t="s">
        <v>9</v>
      </c>
      <c r="D11" t="s">
        <v>53</v>
      </c>
      <c r="E11" t="s">
        <v>58</v>
      </c>
      <c r="F11">
        <v>1500</v>
      </c>
      <c r="G11" s="1">
        <v>1432.19</v>
      </c>
      <c r="H11" t="s">
        <v>60</v>
      </c>
    </row>
    <row r="12" spans="1:8">
      <c r="A12" t="s">
        <v>27</v>
      </c>
      <c r="B12" t="s">
        <v>28</v>
      </c>
      <c r="C12" t="s">
        <v>12</v>
      </c>
      <c r="D12" t="s">
        <v>53</v>
      </c>
      <c r="E12" t="s">
        <v>58</v>
      </c>
      <c r="F12">
        <v>2000</v>
      </c>
      <c r="G12" s="1">
        <v>2037.91</v>
      </c>
      <c r="H12" t="s">
        <v>59</v>
      </c>
    </row>
    <row r="13" spans="1:8">
      <c r="A13" t="s">
        <v>27</v>
      </c>
      <c r="B13" t="s">
        <v>28</v>
      </c>
      <c r="C13" t="s">
        <v>13</v>
      </c>
      <c r="D13" t="s">
        <v>53</v>
      </c>
      <c r="E13" t="s">
        <v>58</v>
      </c>
      <c r="F13">
        <v>1500</v>
      </c>
      <c r="G13" s="1">
        <v>1435.57</v>
      </c>
      <c r="H13" t="s">
        <v>59</v>
      </c>
    </row>
    <row r="14" spans="1:8">
      <c r="A14" t="s">
        <v>29</v>
      </c>
      <c r="B14" t="s">
        <v>30</v>
      </c>
      <c r="C14" t="s">
        <v>9</v>
      </c>
      <c r="D14" t="s">
        <v>53</v>
      </c>
      <c r="E14" t="s">
        <v>54</v>
      </c>
      <c r="F14">
        <v>3600</v>
      </c>
      <c r="G14" s="1">
        <v>3754.18</v>
      </c>
      <c r="H14" t="s">
        <v>62</v>
      </c>
    </row>
    <row r="15" spans="1:8">
      <c r="A15" t="s">
        <v>29</v>
      </c>
      <c r="B15" t="s">
        <v>30</v>
      </c>
      <c r="C15" t="s">
        <v>12</v>
      </c>
      <c r="D15" t="s">
        <v>53</v>
      </c>
      <c r="E15" t="s">
        <v>54</v>
      </c>
      <c r="F15">
        <v>4800</v>
      </c>
      <c r="G15" s="1">
        <v>4893.84</v>
      </c>
      <c r="H15" t="s">
        <v>56</v>
      </c>
    </row>
    <row r="16" spans="1:8">
      <c r="A16" t="s">
        <v>29</v>
      </c>
      <c r="B16" t="s">
        <v>30</v>
      </c>
      <c r="C16" t="s">
        <v>13</v>
      </c>
      <c r="D16" t="s">
        <v>53</v>
      </c>
      <c r="E16" t="s">
        <v>54</v>
      </c>
      <c r="F16">
        <v>3600</v>
      </c>
      <c r="G16" s="1">
        <v>3704.33</v>
      </c>
      <c r="H16" t="s">
        <v>62</v>
      </c>
    </row>
    <row r="17" spans="1:8">
      <c r="A17" t="s">
        <v>29</v>
      </c>
      <c r="B17" t="s">
        <v>30</v>
      </c>
      <c r="C17" t="s">
        <v>9</v>
      </c>
      <c r="D17" t="s">
        <v>53</v>
      </c>
      <c r="E17" t="s">
        <v>58</v>
      </c>
      <c r="F17">
        <v>1500</v>
      </c>
      <c r="G17" s="1">
        <v>1457.84</v>
      </c>
      <c r="H17" t="s">
        <v>59</v>
      </c>
    </row>
    <row r="18" spans="1:8">
      <c r="A18" t="s">
        <v>29</v>
      </c>
      <c r="B18" t="s">
        <v>30</v>
      </c>
      <c r="C18" t="s">
        <v>12</v>
      </c>
      <c r="D18" t="s">
        <v>53</v>
      </c>
      <c r="E18" t="s">
        <v>58</v>
      </c>
      <c r="F18">
        <v>2000</v>
      </c>
      <c r="G18" s="1">
        <v>2050.52</v>
      </c>
      <c r="H18" t="s">
        <v>61</v>
      </c>
    </row>
    <row r="19" spans="1:8">
      <c r="A19" t="s">
        <v>29</v>
      </c>
      <c r="B19" t="s">
        <v>30</v>
      </c>
      <c r="C19" t="s">
        <v>13</v>
      </c>
      <c r="D19" t="s">
        <v>53</v>
      </c>
      <c r="E19" t="s">
        <v>58</v>
      </c>
      <c r="F19">
        <v>1500</v>
      </c>
      <c r="G19" s="1">
        <v>1434</v>
      </c>
      <c r="H19" t="s">
        <v>59</v>
      </c>
    </row>
    <row r="20" spans="1:8">
      <c r="A20" t="s">
        <v>31</v>
      </c>
      <c r="B20" t="s">
        <v>32</v>
      </c>
      <c r="C20" t="s">
        <v>9</v>
      </c>
      <c r="D20" t="s">
        <v>53</v>
      </c>
      <c r="E20" t="s">
        <v>54</v>
      </c>
      <c r="F20">
        <v>3600</v>
      </c>
      <c r="G20" s="1">
        <v>3650.13</v>
      </c>
      <c r="H20" t="s">
        <v>56</v>
      </c>
    </row>
    <row r="21" spans="1:8">
      <c r="A21" t="s">
        <v>31</v>
      </c>
      <c r="B21" t="s">
        <v>32</v>
      </c>
      <c r="C21" t="s">
        <v>12</v>
      </c>
      <c r="D21" t="s">
        <v>53</v>
      </c>
      <c r="E21" t="s">
        <v>54</v>
      </c>
      <c r="F21">
        <v>4800</v>
      </c>
      <c r="G21" s="1">
        <v>4757.3999999999996</v>
      </c>
      <c r="H21" t="s">
        <v>56</v>
      </c>
    </row>
    <row r="22" spans="1:8">
      <c r="A22" t="s">
        <v>31</v>
      </c>
      <c r="B22" t="s">
        <v>32</v>
      </c>
      <c r="C22" t="s">
        <v>13</v>
      </c>
      <c r="D22" t="s">
        <v>53</v>
      </c>
      <c r="E22" t="s">
        <v>54</v>
      </c>
      <c r="F22">
        <v>3600</v>
      </c>
      <c r="G22" s="1">
        <v>3571.28</v>
      </c>
      <c r="H22" t="s">
        <v>63</v>
      </c>
    </row>
    <row r="23" spans="1:8">
      <c r="A23" t="s">
        <v>31</v>
      </c>
      <c r="B23" t="s">
        <v>32</v>
      </c>
      <c r="C23" t="s">
        <v>9</v>
      </c>
      <c r="D23" t="s">
        <v>53</v>
      </c>
      <c r="E23" t="s">
        <v>58</v>
      </c>
      <c r="F23">
        <v>1500</v>
      </c>
      <c r="G23" s="1">
        <v>1442.64</v>
      </c>
      <c r="H23" t="s">
        <v>59</v>
      </c>
    </row>
    <row r="24" spans="1:8">
      <c r="A24" t="s">
        <v>31</v>
      </c>
      <c r="B24" t="s">
        <v>32</v>
      </c>
      <c r="C24" t="s">
        <v>12</v>
      </c>
      <c r="D24" t="s">
        <v>53</v>
      </c>
      <c r="E24" t="s">
        <v>58</v>
      </c>
      <c r="F24">
        <v>2000</v>
      </c>
      <c r="G24" s="1">
        <v>2075.8000000000002</v>
      </c>
      <c r="H24" t="s">
        <v>61</v>
      </c>
    </row>
    <row r="25" spans="1:8">
      <c r="A25" t="s">
        <v>31</v>
      </c>
      <c r="B25" t="s">
        <v>32</v>
      </c>
      <c r="C25" t="s">
        <v>13</v>
      </c>
      <c r="D25" t="s">
        <v>53</v>
      </c>
      <c r="E25" t="s">
        <v>58</v>
      </c>
      <c r="F25">
        <v>1500</v>
      </c>
      <c r="G25" s="1">
        <v>1573.65</v>
      </c>
      <c r="H25" t="s">
        <v>59</v>
      </c>
    </row>
    <row r="26" spans="1:8">
      <c r="A26" t="s">
        <v>33</v>
      </c>
      <c r="B26" t="s">
        <v>34</v>
      </c>
      <c r="C26" t="s">
        <v>9</v>
      </c>
      <c r="D26" t="s">
        <v>53</v>
      </c>
      <c r="E26" t="s">
        <v>54</v>
      </c>
      <c r="F26">
        <v>3600</v>
      </c>
      <c r="G26" s="1">
        <v>3496.72</v>
      </c>
      <c r="H26" t="s">
        <v>63</v>
      </c>
    </row>
    <row r="27" spans="1:8">
      <c r="A27" t="s">
        <v>33</v>
      </c>
      <c r="B27" t="s">
        <v>34</v>
      </c>
      <c r="C27" t="s">
        <v>12</v>
      </c>
      <c r="D27" t="s">
        <v>53</v>
      </c>
      <c r="E27" t="s">
        <v>54</v>
      </c>
      <c r="F27">
        <v>4800</v>
      </c>
      <c r="G27" s="1">
        <v>4591.29</v>
      </c>
      <c r="H27" t="s">
        <v>56</v>
      </c>
    </row>
    <row r="28" spans="1:8">
      <c r="A28" t="s">
        <v>33</v>
      </c>
      <c r="B28" t="s">
        <v>34</v>
      </c>
      <c r="C28" t="s">
        <v>13</v>
      </c>
      <c r="D28" t="s">
        <v>53</v>
      </c>
      <c r="E28" t="s">
        <v>54</v>
      </c>
      <c r="F28">
        <v>3600</v>
      </c>
      <c r="G28" s="1">
        <v>3449.82</v>
      </c>
      <c r="H28" t="s">
        <v>62</v>
      </c>
    </row>
    <row r="29" spans="1:8">
      <c r="A29" t="s">
        <v>33</v>
      </c>
      <c r="B29" t="s">
        <v>34</v>
      </c>
      <c r="C29" t="s">
        <v>9</v>
      </c>
      <c r="D29" t="s">
        <v>53</v>
      </c>
      <c r="E29" t="s">
        <v>58</v>
      </c>
      <c r="F29">
        <v>1500</v>
      </c>
      <c r="G29" s="1">
        <v>1556.11</v>
      </c>
      <c r="H29" t="s">
        <v>60</v>
      </c>
    </row>
    <row r="30" spans="1:8">
      <c r="A30" t="s">
        <v>33</v>
      </c>
      <c r="B30" t="s">
        <v>34</v>
      </c>
      <c r="C30" t="s">
        <v>12</v>
      </c>
      <c r="D30" t="s">
        <v>53</v>
      </c>
      <c r="E30" t="s">
        <v>58</v>
      </c>
      <c r="F30">
        <v>2000</v>
      </c>
      <c r="G30" s="1">
        <v>1943.58</v>
      </c>
      <c r="H30" t="s">
        <v>59</v>
      </c>
    </row>
    <row r="31" spans="1:8">
      <c r="A31" t="s">
        <v>33</v>
      </c>
      <c r="B31" t="s">
        <v>34</v>
      </c>
      <c r="C31" t="s">
        <v>13</v>
      </c>
      <c r="D31" t="s">
        <v>53</v>
      </c>
      <c r="E31" t="s">
        <v>58</v>
      </c>
      <c r="F31">
        <v>1500</v>
      </c>
      <c r="G31" s="1">
        <v>1448.62</v>
      </c>
      <c r="H31" t="s">
        <v>59</v>
      </c>
    </row>
    <row r="32" spans="1:8">
      <c r="A32" t="s">
        <v>35</v>
      </c>
      <c r="B32" t="s">
        <v>36</v>
      </c>
      <c r="C32" t="s">
        <v>9</v>
      </c>
      <c r="D32" t="s">
        <v>53</v>
      </c>
      <c r="E32" t="s">
        <v>54</v>
      </c>
      <c r="F32">
        <v>3600</v>
      </c>
      <c r="G32" s="1">
        <v>3680.42</v>
      </c>
      <c r="H32" t="s">
        <v>63</v>
      </c>
    </row>
    <row r="33" spans="1:8">
      <c r="A33" t="s">
        <v>35</v>
      </c>
      <c r="B33" t="s">
        <v>36</v>
      </c>
      <c r="C33" t="s">
        <v>12</v>
      </c>
      <c r="D33" t="s">
        <v>53</v>
      </c>
      <c r="E33" t="s">
        <v>54</v>
      </c>
      <c r="F33">
        <v>4800</v>
      </c>
      <c r="G33" s="1">
        <v>4600.38</v>
      </c>
      <c r="H33" t="s">
        <v>56</v>
      </c>
    </row>
    <row r="34" spans="1:8">
      <c r="A34" t="s">
        <v>35</v>
      </c>
      <c r="B34" t="s">
        <v>36</v>
      </c>
      <c r="C34" t="s">
        <v>13</v>
      </c>
      <c r="D34" t="s">
        <v>53</v>
      </c>
      <c r="E34" t="s">
        <v>54</v>
      </c>
      <c r="F34">
        <v>3600</v>
      </c>
      <c r="G34" s="1">
        <v>3554.34</v>
      </c>
      <c r="H34" t="s">
        <v>56</v>
      </c>
    </row>
    <row r="35" spans="1:8">
      <c r="A35" t="s">
        <v>35</v>
      </c>
      <c r="B35" t="s">
        <v>36</v>
      </c>
      <c r="C35" t="s">
        <v>9</v>
      </c>
      <c r="D35" t="s">
        <v>53</v>
      </c>
      <c r="E35" t="s">
        <v>58</v>
      </c>
      <c r="F35">
        <v>1500</v>
      </c>
      <c r="G35" s="1">
        <v>1430.09</v>
      </c>
      <c r="H35" t="s">
        <v>61</v>
      </c>
    </row>
    <row r="36" spans="1:8">
      <c r="A36" t="s">
        <v>35</v>
      </c>
      <c r="B36" t="s">
        <v>36</v>
      </c>
      <c r="C36" t="s">
        <v>12</v>
      </c>
      <c r="D36" t="s">
        <v>53</v>
      </c>
      <c r="E36" t="s">
        <v>58</v>
      </c>
      <c r="F36">
        <v>2000</v>
      </c>
      <c r="G36" s="1">
        <v>1928.09</v>
      </c>
      <c r="H36" t="s">
        <v>60</v>
      </c>
    </row>
    <row r="37" spans="1:8">
      <c r="A37" t="s">
        <v>35</v>
      </c>
      <c r="B37" t="s">
        <v>36</v>
      </c>
      <c r="C37" t="s">
        <v>13</v>
      </c>
      <c r="D37" t="s">
        <v>53</v>
      </c>
      <c r="E37" t="s">
        <v>58</v>
      </c>
      <c r="F37">
        <v>1500</v>
      </c>
      <c r="G37" s="1">
        <v>1430.36</v>
      </c>
      <c r="H37" t="s">
        <v>60</v>
      </c>
    </row>
    <row r="38" spans="1:8">
      <c r="A38" t="s">
        <v>37</v>
      </c>
      <c r="B38" t="s">
        <v>38</v>
      </c>
      <c r="C38" t="s">
        <v>9</v>
      </c>
      <c r="D38" t="s">
        <v>53</v>
      </c>
      <c r="E38" t="s">
        <v>54</v>
      </c>
      <c r="F38">
        <v>3600</v>
      </c>
      <c r="G38" s="1">
        <v>3504.79</v>
      </c>
      <c r="H38" t="s">
        <v>55</v>
      </c>
    </row>
    <row r="39" spans="1:8">
      <c r="A39" t="s">
        <v>37</v>
      </c>
      <c r="B39" t="s">
        <v>38</v>
      </c>
      <c r="C39" t="s">
        <v>12</v>
      </c>
      <c r="D39" t="s">
        <v>53</v>
      </c>
      <c r="E39" t="s">
        <v>54</v>
      </c>
      <c r="F39">
        <v>4800</v>
      </c>
      <c r="G39" s="1">
        <v>4701.72</v>
      </c>
      <c r="H39" t="s">
        <v>64</v>
      </c>
    </row>
    <row r="40" spans="1:8">
      <c r="A40" t="s">
        <v>37</v>
      </c>
      <c r="B40" t="s">
        <v>38</v>
      </c>
      <c r="C40" t="s">
        <v>13</v>
      </c>
      <c r="D40" t="s">
        <v>53</v>
      </c>
      <c r="E40" t="s">
        <v>54</v>
      </c>
      <c r="F40">
        <v>3600</v>
      </c>
      <c r="G40" s="1">
        <v>3640.69</v>
      </c>
      <c r="H40" t="s">
        <v>57</v>
      </c>
    </row>
    <row r="41" spans="1:8">
      <c r="A41" t="s">
        <v>37</v>
      </c>
      <c r="B41" t="s">
        <v>38</v>
      </c>
      <c r="C41" t="s">
        <v>9</v>
      </c>
      <c r="D41" t="s">
        <v>53</v>
      </c>
      <c r="E41" t="s">
        <v>58</v>
      </c>
      <c r="F41">
        <v>1500</v>
      </c>
      <c r="G41" s="1">
        <v>1511.98</v>
      </c>
      <c r="H41" t="s">
        <v>60</v>
      </c>
    </row>
    <row r="42" spans="1:8">
      <c r="A42" t="s">
        <v>37</v>
      </c>
      <c r="B42" t="s">
        <v>38</v>
      </c>
      <c r="C42" t="s">
        <v>12</v>
      </c>
      <c r="D42" t="s">
        <v>53</v>
      </c>
      <c r="E42" t="s">
        <v>58</v>
      </c>
      <c r="F42">
        <v>2000</v>
      </c>
      <c r="G42" s="1">
        <v>1932.01</v>
      </c>
      <c r="H42" t="s">
        <v>61</v>
      </c>
    </row>
    <row r="43" spans="1:8">
      <c r="A43" t="s">
        <v>37</v>
      </c>
      <c r="B43" t="s">
        <v>38</v>
      </c>
      <c r="C43" t="s">
        <v>13</v>
      </c>
      <c r="D43" t="s">
        <v>53</v>
      </c>
      <c r="E43" t="s">
        <v>58</v>
      </c>
      <c r="F43">
        <v>1500</v>
      </c>
      <c r="G43" s="1">
        <v>1478.32</v>
      </c>
      <c r="H43" t="s">
        <v>60</v>
      </c>
    </row>
    <row r="44" spans="1:8">
      <c r="A44" t="s">
        <v>39</v>
      </c>
      <c r="B44" t="s">
        <v>40</v>
      </c>
      <c r="C44" t="s">
        <v>9</v>
      </c>
      <c r="D44" t="s">
        <v>53</v>
      </c>
      <c r="E44" t="s">
        <v>54</v>
      </c>
      <c r="F44">
        <v>3600</v>
      </c>
      <c r="G44" s="1">
        <v>3769.28</v>
      </c>
      <c r="H44" t="s">
        <v>63</v>
      </c>
    </row>
    <row r="45" spans="1:8">
      <c r="A45" t="s">
        <v>39</v>
      </c>
      <c r="B45" t="s">
        <v>40</v>
      </c>
      <c r="C45" t="s">
        <v>12</v>
      </c>
      <c r="D45" t="s">
        <v>53</v>
      </c>
      <c r="E45" t="s">
        <v>54</v>
      </c>
      <c r="F45">
        <v>4800</v>
      </c>
      <c r="G45" s="1">
        <v>4813.57</v>
      </c>
      <c r="H45" t="s">
        <v>55</v>
      </c>
    </row>
    <row r="46" spans="1:8">
      <c r="A46" t="s">
        <v>39</v>
      </c>
      <c r="B46" t="s">
        <v>40</v>
      </c>
      <c r="C46" t="s">
        <v>13</v>
      </c>
      <c r="D46" t="s">
        <v>53</v>
      </c>
      <c r="E46" t="s">
        <v>54</v>
      </c>
      <c r="F46">
        <v>3600</v>
      </c>
      <c r="G46" s="1">
        <v>3678.76</v>
      </c>
      <c r="H46" t="s">
        <v>62</v>
      </c>
    </row>
    <row r="47" spans="1:8">
      <c r="A47" t="s">
        <v>39</v>
      </c>
      <c r="B47" t="s">
        <v>40</v>
      </c>
      <c r="C47" t="s">
        <v>9</v>
      </c>
      <c r="D47" t="s">
        <v>53</v>
      </c>
      <c r="E47" t="s">
        <v>58</v>
      </c>
      <c r="F47">
        <v>1500</v>
      </c>
      <c r="G47" s="1">
        <v>1556.29</v>
      </c>
      <c r="H47" t="s">
        <v>61</v>
      </c>
    </row>
    <row r="48" spans="1:8">
      <c r="A48" t="s">
        <v>39</v>
      </c>
      <c r="B48" t="s">
        <v>40</v>
      </c>
      <c r="C48" t="s">
        <v>12</v>
      </c>
      <c r="D48" t="s">
        <v>53</v>
      </c>
      <c r="E48" t="s">
        <v>58</v>
      </c>
      <c r="F48">
        <v>2000</v>
      </c>
      <c r="G48" s="1">
        <v>1921.66</v>
      </c>
      <c r="H48" t="s">
        <v>60</v>
      </c>
    </row>
    <row r="49" spans="1:8">
      <c r="A49" t="s">
        <v>39</v>
      </c>
      <c r="B49" t="s">
        <v>40</v>
      </c>
      <c r="C49" t="s">
        <v>13</v>
      </c>
      <c r="D49" t="s">
        <v>53</v>
      </c>
      <c r="E49" t="s">
        <v>58</v>
      </c>
      <c r="F49">
        <v>1500</v>
      </c>
      <c r="G49" s="1">
        <v>1529.33</v>
      </c>
      <c r="H49" t="s">
        <v>60</v>
      </c>
    </row>
    <row r="50" spans="1:8">
      <c r="A50" t="s">
        <v>41</v>
      </c>
      <c r="B50" t="s">
        <v>42</v>
      </c>
      <c r="C50" t="s">
        <v>9</v>
      </c>
      <c r="D50" t="s">
        <v>53</v>
      </c>
      <c r="E50" t="s">
        <v>54</v>
      </c>
      <c r="F50">
        <v>3600</v>
      </c>
      <c r="G50" s="1">
        <v>3638.47</v>
      </c>
      <c r="H50" t="s">
        <v>62</v>
      </c>
    </row>
    <row r="51" spans="1:8">
      <c r="A51" t="s">
        <v>41</v>
      </c>
      <c r="B51" t="s">
        <v>42</v>
      </c>
      <c r="C51" t="s">
        <v>12</v>
      </c>
      <c r="D51" t="s">
        <v>53</v>
      </c>
      <c r="E51" t="s">
        <v>54</v>
      </c>
      <c r="F51">
        <v>4800</v>
      </c>
      <c r="G51" s="1">
        <v>4890.3500000000004</v>
      </c>
      <c r="H51" t="s">
        <v>57</v>
      </c>
    </row>
    <row r="52" spans="1:8">
      <c r="A52" t="s">
        <v>41</v>
      </c>
      <c r="B52" t="s">
        <v>42</v>
      </c>
      <c r="C52" t="s">
        <v>13</v>
      </c>
      <c r="D52" t="s">
        <v>53</v>
      </c>
      <c r="E52" t="s">
        <v>54</v>
      </c>
      <c r="F52">
        <v>3600</v>
      </c>
      <c r="G52" s="1">
        <v>3472.04</v>
      </c>
      <c r="H52" t="s">
        <v>56</v>
      </c>
    </row>
    <row r="53" spans="1:8">
      <c r="A53" t="s">
        <v>41</v>
      </c>
      <c r="B53" t="s">
        <v>42</v>
      </c>
      <c r="C53" t="s">
        <v>9</v>
      </c>
      <c r="D53" t="s">
        <v>53</v>
      </c>
      <c r="E53" t="s">
        <v>58</v>
      </c>
      <c r="F53">
        <v>1500</v>
      </c>
      <c r="G53" s="1">
        <v>1430.65</v>
      </c>
      <c r="H53" t="s">
        <v>61</v>
      </c>
    </row>
    <row r="54" spans="1:8">
      <c r="A54" t="s">
        <v>41</v>
      </c>
      <c r="B54" t="s">
        <v>42</v>
      </c>
      <c r="C54" t="s">
        <v>12</v>
      </c>
      <c r="D54" t="s">
        <v>53</v>
      </c>
      <c r="E54" t="s">
        <v>58</v>
      </c>
      <c r="F54">
        <v>2000</v>
      </c>
      <c r="G54" s="1">
        <v>2083.46</v>
      </c>
      <c r="H54" t="s">
        <v>60</v>
      </c>
    </row>
    <row r="55" spans="1:8">
      <c r="A55" t="s">
        <v>41</v>
      </c>
      <c r="B55" t="s">
        <v>42</v>
      </c>
      <c r="C55" t="s">
        <v>13</v>
      </c>
      <c r="D55" t="s">
        <v>53</v>
      </c>
      <c r="E55" t="s">
        <v>58</v>
      </c>
      <c r="F55">
        <v>1500</v>
      </c>
      <c r="G55" s="1">
        <v>1509.33</v>
      </c>
      <c r="H55" t="s">
        <v>61</v>
      </c>
    </row>
    <row r="56" spans="1:8">
      <c r="A56" t="s">
        <v>43</v>
      </c>
      <c r="B56" t="s">
        <v>44</v>
      </c>
      <c r="C56" t="s">
        <v>9</v>
      </c>
      <c r="D56" t="s">
        <v>53</v>
      </c>
      <c r="E56" t="s">
        <v>54</v>
      </c>
      <c r="F56">
        <v>3600</v>
      </c>
      <c r="G56" s="1">
        <v>3582.31</v>
      </c>
      <c r="H56" t="s">
        <v>62</v>
      </c>
    </row>
    <row r="57" spans="1:8">
      <c r="A57" t="s">
        <v>43</v>
      </c>
      <c r="B57" t="s">
        <v>44</v>
      </c>
      <c r="C57" t="s">
        <v>12</v>
      </c>
      <c r="D57" t="s">
        <v>53</v>
      </c>
      <c r="E57" t="s">
        <v>54</v>
      </c>
      <c r="F57">
        <v>4800</v>
      </c>
      <c r="G57" s="1">
        <v>4911.2700000000004</v>
      </c>
      <c r="H57" t="s">
        <v>57</v>
      </c>
    </row>
    <row r="58" spans="1:8">
      <c r="A58" t="s">
        <v>43</v>
      </c>
      <c r="B58" t="s">
        <v>44</v>
      </c>
      <c r="C58" t="s">
        <v>13</v>
      </c>
      <c r="D58" t="s">
        <v>53</v>
      </c>
      <c r="E58" t="s">
        <v>54</v>
      </c>
      <c r="F58">
        <v>3600</v>
      </c>
      <c r="G58" s="1">
        <v>3593.68</v>
      </c>
      <c r="H58" t="s">
        <v>56</v>
      </c>
    </row>
    <row r="59" spans="1:8">
      <c r="A59" t="s">
        <v>43</v>
      </c>
      <c r="B59" t="s">
        <v>44</v>
      </c>
      <c r="C59" t="s">
        <v>9</v>
      </c>
      <c r="D59" t="s">
        <v>53</v>
      </c>
      <c r="E59" t="s">
        <v>58</v>
      </c>
      <c r="F59">
        <v>1500</v>
      </c>
      <c r="G59" s="1">
        <v>1551.78</v>
      </c>
      <c r="H59" t="s">
        <v>61</v>
      </c>
    </row>
    <row r="60" spans="1:8">
      <c r="A60" t="s">
        <v>43</v>
      </c>
      <c r="B60" t="s">
        <v>44</v>
      </c>
      <c r="C60" t="s">
        <v>12</v>
      </c>
      <c r="D60" t="s">
        <v>53</v>
      </c>
      <c r="E60" t="s">
        <v>58</v>
      </c>
      <c r="F60">
        <v>2000</v>
      </c>
      <c r="G60" s="1">
        <v>1986.11</v>
      </c>
      <c r="H60" t="s">
        <v>60</v>
      </c>
    </row>
    <row r="61" spans="1:8">
      <c r="A61" t="s">
        <v>43</v>
      </c>
      <c r="B61" t="s">
        <v>44</v>
      </c>
      <c r="C61" t="s">
        <v>13</v>
      </c>
      <c r="D61" t="s">
        <v>53</v>
      </c>
      <c r="E61" t="s">
        <v>58</v>
      </c>
      <c r="F61">
        <v>1500</v>
      </c>
      <c r="G61" s="1">
        <v>1448.36</v>
      </c>
      <c r="H61" t="s">
        <v>61</v>
      </c>
    </row>
    <row r="62" spans="1:8">
      <c r="A62" t="s">
        <v>45</v>
      </c>
      <c r="B62" t="s">
        <v>46</v>
      </c>
      <c r="C62" t="s">
        <v>9</v>
      </c>
      <c r="D62" t="s">
        <v>53</v>
      </c>
      <c r="E62" t="s">
        <v>54</v>
      </c>
      <c r="F62">
        <v>3600</v>
      </c>
      <c r="G62" s="1">
        <v>3762.79</v>
      </c>
      <c r="H62" t="s">
        <v>64</v>
      </c>
    </row>
    <row r="63" spans="1:8">
      <c r="A63" t="s">
        <v>45</v>
      </c>
      <c r="B63" t="s">
        <v>46</v>
      </c>
      <c r="C63" t="s">
        <v>12</v>
      </c>
      <c r="D63" t="s">
        <v>53</v>
      </c>
      <c r="E63" t="s">
        <v>54</v>
      </c>
      <c r="F63">
        <v>4800</v>
      </c>
      <c r="G63" s="1">
        <v>4923.87</v>
      </c>
      <c r="H63" t="s">
        <v>55</v>
      </c>
    </row>
    <row r="64" spans="1:8">
      <c r="A64" t="s">
        <v>45</v>
      </c>
      <c r="B64" t="s">
        <v>46</v>
      </c>
      <c r="C64" t="s">
        <v>13</v>
      </c>
      <c r="D64" t="s">
        <v>53</v>
      </c>
      <c r="E64" t="s">
        <v>54</v>
      </c>
      <c r="F64">
        <v>3600</v>
      </c>
      <c r="G64" s="1">
        <v>3534.42</v>
      </c>
      <c r="H64" t="s">
        <v>63</v>
      </c>
    </row>
    <row r="65" spans="1:8">
      <c r="A65" t="s">
        <v>45</v>
      </c>
      <c r="B65" t="s">
        <v>46</v>
      </c>
      <c r="C65" t="s">
        <v>9</v>
      </c>
      <c r="D65" t="s">
        <v>53</v>
      </c>
      <c r="E65" t="s">
        <v>58</v>
      </c>
      <c r="F65">
        <v>1500</v>
      </c>
      <c r="G65" s="1">
        <v>1440.11</v>
      </c>
      <c r="H65" t="s">
        <v>60</v>
      </c>
    </row>
    <row r="66" spans="1:8">
      <c r="A66" t="s">
        <v>45</v>
      </c>
      <c r="B66" t="s">
        <v>46</v>
      </c>
      <c r="C66" t="s">
        <v>12</v>
      </c>
      <c r="D66" t="s">
        <v>53</v>
      </c>
      <c r="E66" t="s">
        <v>58</v>
      </c>
      <c r="F66">
        <v>2000</v>
      </c>
      <c r="G66" s="1">
        <v>1950.33</v>
      </c>
      <c r="H66" t="s">
        <v>59</v>
      </c>
    </row>
    <row r="67" spans="1:8">
      <c r="A67" t="s">
        <v>45</v>
      </c>
      <c r="B67" t="s">
        <v>46</v>
      </c>
      <c r="C67" t="s">
        <v>13</v>
      </c>
      <c r="D67" t="s">
        <v>53</v>
      </c>
      <c r="E67" t="s">
        <v>58</v>
      </c>
      <c r="F67">
        <v>1500</v>
      </c>
      <c r="G67" s="1">
        <v>1511.7</v>
      </c>
      <c r="H67" t="s">
        <v>59</v>
      </c>
    </row>
    <row r="68" spans="1:8">
      <c r="A68" t="s">
        <v>47</v>
      </c>
      <c r="B68" t="s">
        <v>48</v>
      </c>
      <c r="C68" t="s">
        <v>9</v>
      </c>
      <c r="D68" t="s">
        <v>53</v>
      </c>
      <c r="E68" t="s">
        <v>54</v>
      </c>
      <c r="F68">
        <v>3600</v>
      </c>
      <c r="G68" s="1">
        <v>3777.28</v>
      </c>
      <c r="H68" t="s">
        <v>55</v>
      </c>
    </row>
    <row r="69" spans="1:8">
      <c r="A69" t="s">
        <v>47</v>
      </c>
      <c r="B69" t="s">
        <v>48</v>
      </c>
      <c r="C69" t="s">
        <v>12</v>
      </c>
      <c r="D69" t="s">
        <v>53</v>
      </c>
      <c r="E69" t="s">
        <v>54</v>
      </c>
      <c r="F69">
        <v>4800</v>
      </c>
      <c r="G69" s="1">
        <v>4996.16</v>
      </c>
      <c r="H69" t="s">
        <v>62</v>
      </c>
    </row>
    <row r="70" spans="1:8">
      <c r="A70" t="s">
        <v>47</v>
      </c>
      <c r="B70" t="s">
        <v>48</v>
      </c>
      <c r="C70" t="s">
        <v>13</v>
      </c>
      <c r="D70" t="s">
        <v>53</v>
      </c>
      <c r="E70" t="s">
        <v>54</v>
      </c>
      <c r="F70">
        <v>3600</v>
      </c>
      <c r="G70" s="1">
        <v>3722.73</v>
      </c>
      <c r="H70" t="s">
        <v>62</v>
      </c>
    </row>
    <row r="71" spans="1:8">
      <c r="A71" t="s">
        <v>47</v>
      </c>
      <c r="B71" t="s">
        <v>48</v>
      </c>
      <c r="C71" t="s">
        <v>9</v>
      </c>
      <c r="D71" t="s">
        <v>53</v>
      </c>
      <c r="E71" t="s">
        <v>58</v>
      </c>
      <c r="F71">
        <v>1500</v>
      </c>
      <c r="G71" s="1">
        <v>1466.87</v>
      </c>
      <c r="H71" t="s">
        <v>60</v>
      </c>
    </row>
    <row r="72" spans="1:8">
      <c r="A72" t="s">
        <v>47</v>
      </c>
      <c r="B72" t="s">
        <v>48</v>
      </c>
      <c r="C72" t="s">
        <v>12</v>
      </c>
      <c r="D72" t="s">
        <v>53</v>
      </c>
      <c r="E72" t="s">
        <v>58</v>
      </c>
      <c r="F72">
        <v>2000</v>
      </c>
      <c r="G72" s="1">
        <v>1931.63</v>
      </c>
      <c r="H72" t="s">
        <v>59</v>
      </c>
    </row>
    <row r="73" spans="1:8">
      <c r="A73" t="s">
        <v>47</v>
      </c>
      <c r="B73" t="s">
        <v>48</v>
      </c>
      <c r="C73" t="s">
        <v>13</v>
      </c>
      <c r="D73" t="s">
        <v>53</v>
      </c>
      <c r="E73" t="s">
        <v>58</v>
      </c>
      <c r="F73">
        <v>1500</v>
      </c>
      <c r="G73" s="1">
        <v>1544.99</v>
      </c>
      <c r="H73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A5C5-5C33-DC42-8848-5EC88DC43D80}">
  <dimension ref="C10:XFD65"/>
  <sheetViews>
    <sheetView tabSelected="1" topLeftCell="F16" zoomScale="70" zoomScaleNormal="70" workbookViewId="0">
      <selection activeCell="XFD49" sqref="XFD49"/>
    </sheetView>
  </sheetViews>
  <sheetFormatPr baseColWidth="10" defaultColWidth="10.83203125" defaultRowHeight="14"/>
  <cols>
    <col min="1" max="2" width="10.83203125" style="3" hidden="1" customWidth="1"/>
    <col min="3" max="4" width="0" style="3" hidden="1" customWidth="1"/>
    <col min="5" max="5" width="17.1640625" style="3" hidden="1" customWidth="1"/>
    <col min="6" max="7" width="10.83203125" style="3" customWidth="1"/>
    <col min="8" max="8" width="23.6640625" style="3" bestFit="1" customWidth="1"/>
    <col min="9" max="10" width="20.33203125" style="3" bestFit="1" customWidth="1"/>
    <col min="11" max="11" width="8.6640625" style="3" bestFit="1" customWidth="1"/>
    <col min="12" max="12" width="13.33203125" style="3" bestFit="1" customWidth="1"/>
    <col min="13" max="13" width="16" style="3" bestFit="1" customWidth="1"/>
    <col min="14" max="16383" width="0" style="3" hidden="1" customWidth="1"/>
    <col min="16384" max="16384" width="102.83203125" style="3" customWidth="1"/>
  </cols>
  <sheetData>
    <row r="10" spans="8:11" ht="15" customHeight="1"/>
    <row r="11" spans="8:11" ht="15" thickBot="1"/>
    <row r="12" spans="8:11" ht="22" customHeight="1">
      <c r="H12" s="8" t="s">
        <v>76</v>
      </c>
      <c r="I12" s="9"/>
      <c r="J12" s="10"/>
      <c r="K12" s="4"/>
    </row>
    <row r="13" spans="8:11" ht="17" thickBot="1">
      <c r="H13" s="11"/>
      <c r="I13" s="12"/>
      <c r="J13" s="13"/>
      <c r="K13" s="4"/>
    </row>
    <row r="14" spans="8:11" ht="16">
      <c r="H14" s="4"/>
      <c r="I14" s="4"/>
      <c r="J14" s="4"/>
      <c r="K14" s="4"/>
    </row>
    <row r="15" spans="8:11" ht="16">
      <c r="H15" s="4" t="s">
        <v>74</v>
      </c>
      <c r="I15" s="4" t="s">
        <v>75</v>
      </c>
      <c r="J15" s="5" t="s">
        <v>66</v>
      </c>
      <c r="K15" s="4"/>
    </row>
    <row r="16" spans="8:11" ht="16">
      <c r="H16" s="4" t="s">
        <v>54</v>
      </c>
      <c r="I16" s="4" t="s">
        <v>56</v>
      </c>
      <c r="J16" s="5">
        <v>46706</v>
      </c>
      <c r="K16" s="4"/>
    </row>
    <row r="17" spans="8:11" ht="16">
      <c r="H17" s="4" t="s">
        <v>54</v>
      </c>
      <c r="I17" s="4" t="s">
        <v>62</v>
      </c>
      <c r="J17" s="5">
        <v>34043</v>
      </c>
      <c r="K17" s="4"/>
    </row>
    <row r="18" spans="8:11" ht="16">
      <c r="H18" s="4" t="s">
        <v>54</v>
      </c>
      <c r="I18" s="4" t="s">
        <v>55</v>
      </c>
      <c r="J18" s="5">
        <v>20648</v>
      </c>
      <c r="K18" s="4"/>
    </row>
    <row r="19" spans="8:11" ht="16">
      <c r="H19" s="4" t="s">
        <v>54</v>
      </c>
      <c r="I19" s="4" t="s">
        <v>63</v>
      </c>
      <c r="J19" s="5">
        <v>18051</v>
      </c>
      <c r="K19" s="4"/>
    </row>
    <row r="20" spans="8:11" ht="16">
      <c r="H20" s="4" t="s">
        <v>54</v>
      </c>
      <c r="I20" s="4" t="s">
        <v>57</v>
      </c>
      <c r="J20" s="5">
        <v>17187</v>
      </c>
      <c r="K20" s="4"/>
    </row>
    <row r="21" spans="8:11" ht="16">
      <c r="H21" s="4" t="s">
        <v>54</v>
      </c>
      <c r="I21" s="4" t="s">
        <v>64</v>
      </c>
      <c r="J21" s="5">
        <v>8465</v>
      </c>
      <c r="K21" s="4"/>
    </row>
    <row r="22" spans="8:11" ht="16">
      <c r="H22" s="4" t="s">
        <v>58</v>
      </c>
      <c r="I22" s="4" t="s">
        <v>60</v>
      </c>
      <c r="J22" s="5">
        <v>21842</v>
      </c>
      <c r="K22" s="4"/>
    </row>
    <row r="23" spans="8:11" ht="16">
      <c r="H23" s="4" t="s">
        <v>58</v>
      </c>
      <c r="I23" s="4" t="s">
        <v>59</v>
      </c>
      <c r="J23" s="5">
        <v>19722</v>
      </c>
      <c r="K23" s="4"/>
    </row>
    <row r="24" spans="8:11" ht="16">
      <c r="H24" s="4" t="s">
        <v>58</v>
      </c>
      <c r="I24" s="4" t="s">
        <v>61</v>
      </c>
      <c r="J24" s="5">
        <v>17980</v>
      </c>
      <c r="K24" s="4"/>
    </row>
    <row r="25" spans="8:11" ht="16">
      <c r="H25" s="4"/>
      <c r="I25" s="4"/>
      <c r="J25" s="4"/>
      <c r="K25" s="4"/>
    </row>
    <row r="28" spans="8:11" ht="16">
      <c r="H28" s="4"/>
      <c r="I28" s="4"/>
      <c r="J28" s="4"/>
      <c r="K28" s="4"/>
    </row>
    <row r="29" spans="8:11" ht="16">
      <c r="H29" s="6" t="s">
        <v>74</v>
      </c>
      <c r="I29" s="6" t="s">
        <v>75</v>
      </c>
      <c r="J29" s="4" t="s">
        <v>77</v>
      </c>
      <c r="K29" s="4"/>
    </row>
    <row r="30" spans="8:11" ht="16">
      <c r="H30" s="4" t="s">
        <v>54</v>
      </c>
      <c r="I30" s="4" t="s">
        <v>56</v>
      </c>
      <c r="J30" s="5">
        <v>46706</v>
      </c>
      <c r="K30" s="4"/>
    </row>
    <row r="31" spans="8:11" ht="16">
      <c r="H31" s="4"/>
      <c r="I31" s="4" t="s">
        <v>62</v>
      </c>
      <c r="J31" s="5">
        <v>34043</v>
      </c>
      <c r="K31" s="4"/>
    </row>
    <row r="32" spans="8:11" ht="16">
      <c r="H32" s="4"/>
      <c r="I32" s="4" t="s">
        <v>55</v>
      </c>
      <c r="J32" s="5">
        <v>20648</v>
      </c>
      <c r="K32" s="4"/>
    </row>
    <row r="33" spans="8:11 16384:16384" ht="16">
      <c r="H33" s="4"/>
      <c r="I33" s="4" t="s">
        <v>63</v>
      </c>
      <c r="J33" s="5">
        <v>18051</v>
      </c>
      <c r="K33" s="4"/>
    </row>
    <row r="34" spans="8:11 16384:16384" ht="16">
      <c r="H34" s="4"/>
      <c r="I34" s="4" t="s">
        <v>57</v>
      </c>
      <c r="J34" s="5">
        <v>17187</v>
      </c>
      <c r="K34" s="4"/>
    </row>
    <row r="35" spans="8:11 16384:16384" ht="16">
      <c r="H35" s="4"/>
      <c r="I35" s="4" t="s">
        <v>64</v>
      </c>
      <c r="J35" s="5">
        <v>8465</v>
      </c>
      <c r="K35" s="4"/>
    </row>
    <row r="36" spans="8:11 16384:16384" ht="16">
      <c r="H36" s="4" t="s">
        <v>80</v>
      </c>
      <c r="I36" s="4"/>
      <c r="J36" s="5">
        <v>145100</v>
      </c>
      <c r="K36" s="4"/>
    </row>
    <row r="37" spans="8:11 16384:16384" ht="16">
      <c r="H37" s="4" t="s">
        <v>58</v>
      </c>
      <c r="I37" s="4" t="s">
        <v>60</v>
      </c>
      <c r="J37" s="5">
        <v>21842</v>
      </c>
      <c r="K37" s="4"/>
    </row>
    <row r="38" spans="8:11 16384:16384" ht="16">
      <c r="H38" s="4"/>
      <c r="I38" s="4" t="s">
        <v>59</v>
      </c>
      <c r="J38" s="5">
        <v>19722</v>
      </c>
      <c r="K38" s="4"/>
    </row>
    <row r="39" spans="8:11 16384:16384" ht="16">
      <c r="H39" s="4"/>
      <c r="I39" s="4" t="s">
        <v>61</v>
      </c>
      <c r="J39" s="5">
        <v>17980</v>
      </c>
      <c r="K39" s="4"/>
    </row>
    <row r="40" spans="8:11 16384:16384" ht="16">
      <c r="H40" s="4" t="s">
        <v>79</v>
      </c>
      <c r="I40" s="4"/>
      <c r="J40" s="5">
        <v>59544</v>
      </c>
      <c r="K40" s="4"/>
    </row>
    <row r="41" spans="8:11 16384:16384" ht="16">
      <c r="H41" s="4" t="s">
        <v>78</v>
      </c>
      <c r="I41" s="4"/>
      <c r="J41" s="5">
        <v>204644</v>
      </c>
      <c r="K41" s="4"/>
    </row>
    <row r="42" spans="8:11 16384:16384" ht="16">
      <c r="H42" s="4"/>
      <c r="I42" s="4"/>
      <c r="J42" s="4"/>
      <c r="K42" s="4"/>
    </row>
    <row r="47" spans="8:11 16384:16384" ht="14" customHeight="1">
      <c r="XFD47" s="20"/>
    </row>
    <row r="48" spans="8:11 16384:16384">
      <c r="XFD48" s="18"/>
    </row>
    <row r="49" spans="16384:16384" ht="261">
      <c r="XFD49" s="21" t="s">
        <v>88</v>
      </c>
    </row>
    <row r="50" spans="16384:16384">
      <c r="XFD50" s="18"/>
    </row>
    <row r="51" spans="16384:16384">
      <c r="XFD51" s="18"/>
    </row>
    <row r="52" spans="16384:16384">
      <c r="XFD52" s="18"/>
    </row>
    <row r="53" spans="16384:16384">
      <c r="XFD53" s="18"/>
    </row>
    <row r="54" spans="16384:16384">
      <c r="XFD54" s="18"/>
    </row>
    <row r="55" spans="16384:16384">
      <c r="XFD55" s="18"/>
    </row>
    <row r="56" spans="16384:16384">
      <c r="XFD56" s="18"/>
    </row>
    <row r="57" spans="16384:16384">
      <c r="XFD57" s="18"/>
    </row>
    <row r="58" spans="16384:16384">
      <c r="XFD58" s="18"/>
    </row>
    <row r="59" spans="16384:16384">
      <c r="XFD59" s="18"/>
    </row>
    <row r="60" spans="16384:16384">
      <c r="XFD60" s="18"/>
    </row>
    <row r="61" spans="16384:16384">
      <c r="XFD61" s="19"/>
    </row>
    <row r="62" spans="16384:16384">
      <c r="XFD62" s="18"/>
    </row>
    <row r="63" spans="16384:16384">
      <c r="XFD63" s="18"/>
    </row>
    <row r="64" spans="16384:16384">
      <c r="XFD64" s="18"/>
    </row>
    <row r="65" spans="16384:16384">
      <c r="XFD65" s="18"/>
    </row>
  </sheetData>
  <mergeCells count="1">
    <mergeCell ref="H12:J13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0043-C42F-0E49-82FF-C787D746E8CF}">
  <dimension ref="F8:P32"/>
  <sheetViews>
    <sheetView topLeftCell="E6" zoomScale="126" zoomScaleNormal="126" workbookViewId="0">
      <selection activeCell="G9" sqref="G9:J10"/>
    </sheetView>
  </sheetViews>
  <sheetFormatPr baseColWidth="10" defaultRowHeight="15"/>
  <cols>
    <col min="10" max="10" width="27.83203125" customWidth="1"/>
    <col min="11" max="11" width="22.83203125" bestFit="1" customWidth="1"/>
  </cols>
  <sheetData>
    <row r="8" spans="6:11">
      <c r="K8" s="16"/>
    </row>
    <row r="9" spans="6:11" ht="15" customHeight="1">
      <c r="G9" s="14" t="s">
        <v>89</v>
      </c>
      <c r="H9" s="14"/>
      <c r="I9" s="14"/>
      <c r="J9" s="14"/>
      <c r="K9" s="16"/>
    </row>
    <row r="10" spans="6:11" ht="15" customHeight="1">
      <c r="G10" s="14"/>
      <c r="H10" s="14"/>
      <c r="I10" s="14"/>
      <c r="J10" s="14"/>
      <c r="K10" s="16"/>
    </row>
    <row r="11" spans="6:11">
      <c r="K11" s="16"/>
    </row>
    <row r="12" spans="6:11">
      <c r="F12" s="7"/>
      <c r="G12" s="7"/>
      <c r="H12" s="7"/>
      <c r="I12" s="7"/>
      <c r="J12" s="7"/>
      <c r="K12" s="7"/>
    </row>
    <row r="13" spans="6:11" ht="16">
      <c r="F13" s="7"/>
      <c r="G13" s="4" t="s">
        <v>65</v>
      </c>
      <c r="H13" s="4" t="s">
        <v>67</v>
      </c>
      <c r="I13" s="4" t="s">
        <v>68</v>
      </c>
      <c r="J13" s="4" t="s">
        <v>69</v>
      </c>
    </row>
    <row r="14" spans="6:11" ht="16">
      <c r="F14" s="7"/>
      <c r="G14" s="25" t="s">
        <v>82</v>
      </c>
      <c r="H14" s="25">
        <v>51766</v>
      </c>
      <c r="I14" s="25">
        <v>22005</v>
      </c>
      <c r="J14" s="25">
        <v>29761</v>
      </c>
    </row>
    <row r="15" spans="6:11" ht="16">
      <c r="F15" s="7"/>
      <c r="G15" s="25" t="s">
        <v>83</v>
      </c>
      <c r="H15" s="25">
        <v>50180</v>
      </c>
      <c r="I15" s="25">
        <v>22168</v>
      </c>
      <c r="J15" s="25">
        <v>28012</v>
      </c>
    </row>
    <row r="16" spans="6:11" ht="16">
      <c r="F16" s="7"/>
      <c r="G16" s="25" t="s">
        <v>84</v>
      </c>
      <c r="H16" s="25">
        <v>51062</v>
      </c>
      <c r="I16" s="25">
        <v>21862</v>
      </c>
      <c r="J16" s="25">
        <v>29200</v>
      </c>
    </row>
    <row r="17" spans="6:16" ht="16">
      <c r="F17" s="7"/>
      <c r="G17" s="25" t="s">
        <v>85</v>
      </c>
      <c r="H17" s="25">
        <v>51636</v>
      </c>
      <c r="I17" s="25">
        <v>22029</v>
      </c>
      <c r="J17" s="25">
        <v>29607</v>
      </c>
    </row>
    <row r="20" spans="6:16" ht="16">
      <c r="M20" s="4"/>
    </row>
    <row r="21" spans="6:16" ht="15" customHeight="1">
      <c r="L21" s="22" t="s">
        <v>90</v>
      </c>
      <c r="M21" s="22"/>
      <c r="N21" s="22"/>
      <c r="O21" s="22"/>
      <c r="P21" s="22"/>
    </row>
    <row r="22" spans="6:16">
      <c r="L22" s="22"/>
      <c r="M22" s="22"/>
      <c r="N22" s="22"/>
      <c r="O22" s="22"/>
      <c r="P22" s="22"/>
    </row>
    <row r="23" spans="6:16">
      <c r="L23" s="22"/>
      <c r="M23" s="22"/>
      <c r="N23" s="22"/>
      <c r="O23" s="22"/>
      <c r="P23" s="22"/>
    </row>
    <row r="24" spans="6:16">
      <c r="L24" s="22"/>
      <c r="M24" s="22"/>
      <c r="N24" s="22"/>
      <c r="O24" s="22"/>
      <c r="P24" s="22"/>
    </row>
    <row r="25" spans="6:16">
      <c r="L25" s="22"/>
      <c r="M25" s="22"/>
      <c r="N25" s="22"/>
      <c r="O25" s="22"/>
      <c r="P25" s="22"/>
    </row>
    <row r="26" spans="6:16">
      <c r="L26" s="22"/>
      <c r="M26" s="22"/>
      <c r="N26" s="22"/>
      <c r="O26" s="22"/>
      <c r="P26" s="22"/>
    </row>
    <row r="27" spans="6:16">
      <c r="L27" s="22"/>
      <c r="M27" s="22"/>
      <c r="N27" s="22"/>
      <c r="O27" s="22"/>
      <c r="P27" s="22"/>
    </row>
    <row r="28" spans="6:16">
      <c r="L28" s="22"/>
      <c r="M28" s="22"/>
      <c r="N28" s="22"/>
      <c r="O28" s="22"/>
      <c r="P28" s="22"/>
    </row>
    <row r="29" spans="6:16">
      <c r="L29" s="22"/>
      <c r="M29" s="22"/>
      <c r="N29" s="22"/>
      <c r="O29" s="22"/>
      <c r="P29" s="22"/>
    </row>
    <row r="30" spans="6:16">
      <c r="L30" s="22"/>
      <c r="M30" s="22"/>
      <c r="N30" s="22"/>
      <c r="O30" s="22"/>
      <c r="P30" s="22"/>
    </row>
    <row r="31" spans="6:16">
      <c r="L31" s="22"/>
      <c r="M31" s="22"/>
      <c r="N31" s="22"/>
      <c r="O31" s="22"/>
      <c r="P31" s="22"/>
    </row>
    <row r="32" spans="6:16">
      <c r="L32" s="22"/>
      <c r="M32" s="22"/>
      <c r="N32" s="22"/>
      <c r="O32" s="22"/>
      <c r="P32" s="22"/>
    </row>
  </sheetData>
  <mergeCells count="2">
    <mergeCell ref="G9:J10"/>
    <mergeCell ref="L21:P3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3F59-FAF1-5E46-A709-C518AFCE3702}">
  <dimension ref="F7:T38"/>
  <sheetViews>
    <sheetView topLeftCell="B3" workbookViewId="0">
      <selection activeCell="P42" sqref="P42"/>
    </sheetView>
  </sheetViews>
  <sheetFormatPr baseColWidth="10" defaultRowHeight="15"/>
  <cols>
    <col min="6" max="6" width="23.33203125" bestFit="1" customWidth="1"/>
    <col min="7" max="7" width="9.1640625" bestFit="1" customWidth="1"/>
    <col min="8" max="8" width="8.5" bestFit="1" customWidth="1"/>
    <col min="9" max="9" width="12.6640625" bestFit="1" customWidth="1"/>
    <col min="10" max="10" width="10.83203125" hidden="1" customWidth="1"/>
  </cols>
  <sheetData>
    <row r="7" spans="6:9">
      <c r="F7" s="14" t="s">
        <v>81</v>
      </c>
      <c r="G7" s="15"/>
      <c r="H7" s="15"/>
      <c r="I7" s="15"/>
    </row>
    <row r="8" spans="6:9">
      <c r="F8" s="15"/>
      <c r="G8" s="15"/>
      <c r="H8" s="15"/>
      <c r="I8" s="15"/>
    </row>
    <row r="11" spans="6:9" ht="16">
      <c r="F11" s="4" t="s">
        <v>3</v>
      </c>
      <c r="G11" s="4" t="s">
        <v>70</v>
      </c>
      <c r="H11" s="4" t="s">
        <v>71</v>
      </c>
      <c r="I11" s="4" t="s">
        <v>72</v>
      </c>
    </row>
    <row r="12" spans="6:9" ht="16">
      <c r="F12" s="4" t="s">
        <v>25</v>
      </c>
      <c r="G12" s="4">
        <v>57600</v>
      </c>
      <c r="H12" s="4">
        <v>57829</v>
      </c>
      <c r="I12" s="4">
        <v>229</v>
      </c>
    </row>
    <row r="13" spans="6:9" ht="16">
      <c r="F13" s="4" t="s">
        <v>21</v>
      </c>
      <c r="G13" s="4">
        <v>5472</v>
      </c>
      <c r="H13" s="4">
        <v>5505</v>
      </c>
      <c r="I13" s="4">
        <v>32.999999999998103</v>
      </c>
    </row>
    <row r="14" spans="6:9" ht="16">
      <c r="F14" s="4" t="s">
        <v>16</v>
      </c>
      <c r="G14" s="4">
        <v>5435.99999999999</v>
      </c>
      <c r="H14" s="4">
        <v>5466</v>
      </c>
      <c r="I14" s="4">
        <v>30.000000000001801</v>
      </c>
    </row>
    <row r="15" spans="6:9" ht="16">
      <c r="F15" s="4" t="s">
        <v>23</v>
      </c>
      <c r="G15" s="4">
        <v>900</v>
      </c>
      <c r="H15" s="4">
        <v>893</v>
      </c>
      <c r="I15" s="4">
        <v>-7</v>
      </c>
    </row>
    <row r="16" spans="6:9" ht="16">
      <c r="F16" s="4" t="s">
        <v>18</v>
      </c>
      <c r="G16" s="4">
        <v>2820</v>
      </c>
      <c r="H16" s="4">
        <v>2805</v>
      </c>
      <c r="I16" s="4">
        <v>-15</v>
      </c>
    </row>
    <row r="17" spans="6:20" ht="16">
      <c r="F17" s="4" t="s">
        <v>14</v>
      </c>
      <c r="G17" s="4">
        <v>5400</v>
      </c>
      <c r="H17" s="4">
        <v>5382</v>
      </c>
      <c r="I17" s="4">
        <v>-18</v>
      </c>
    </row>
    <row r="18" spans="6:20" ht="16">
      <c r="F18" s="4" t="s">
        <v>10</v>
      </c>
      <c r="G18" s="4">
        <v>10211.9999999999</v>
      </c>
      <c r="H18" s="4">
        <v>10184</v>
      </c>
      <c r="I18" s="4">
        <v>-27.999999999996302</v>
      </c>
    </row>
    <row r="24" spans="6:20" ht="15" customHeight="1">
      <c r="O24" s="23" t="s">
        <v>91</v>
      </c>
      <c r="P24" s="23"/>
      <c r="Q24" s="23"/>
      <c r="R24" s="23"/>
      <c r="S24" s="23"/>
      <c r="T24" s="23"/>
    </row>
    <row r="25" spans="6:20" ht="15" customHeight="1">
      <c r="O25" s="23"/>
      <c r="P25" s="23"/>
      <c r="Q25" s="23"/>
      <c r="R25" s="23"/>
      <c r="S25" s="23"/>
      <c r="T25" s="23"/>
    </row>
    <row r="26" spans="6:20" ht="15" customHeight="1">
      <c r="O26" s="23"/>
      <c r="P26" s="23"/>
      <c r="Q26" s="23"/>
      <c r="R26" s="23"/>
      <c r="S26" s="23"/>
      <c r="T26" s="23"/>
    </row>
    <row r="27" spans="6:20" ht="15" customHeight="1">
      <c r="O27" s="23"/>
      <c r="P27" s="23"/>
      <c r="Q27" s="23"/>
      <c r="R27" s="23"/>
      <c r="S27" s="23"/>
      <c r="T27" s="23"/>
    </row>
    <row r="28" spans="6:20" ht="15" customHeight="1">
      <c r="O28" s="23"/>
      <c r="P28" s="23"/>
      <c r="Q28" s="23"/>
      <c r="R28" s="23"/>
      <c r="S28" s="23"/>
      <c r="T28" s="23"/>
    </row>
    <row r="29" spans="6:20" ht="15" customHeight="1">
      <c r="O29" s="23"/>
      <c r="P29" s="23"/>
      <c r="Q29" s="23"/>
      <c r="R29" s="23"/>
      <c r="S29" s="23"/>
      <c r="T29" s="23"/>
    </row>
    <row r="30" spans="6:20" ht="15" customHeight="1">
      <c r="O30" s="23"/>
      <c r="P30" s="23"/>
      <c r="Q30" s="23"/>
      <c r="R30" s="23"/>
      <c r="S30" s="23"/>
      <c r="T30" s="23"/>
    </row>
    <row r="31" spans="6:20">
      <c r="O31" s="23"/>
      <c r="P31" s="23"/>
      <c r="Q31" s="23"/>
      <c r="R31" s="23"/>
      <c r="S31" s="23"/>
      <c r="T31" s="23"/>
    </row>
    <row r="32" spans="6:20">
      <c r="O32" s="23"/>
      <c r="P32" s="23"/>
      <c r="Q32" s="23"/>
      <c r="R32" s="23"/>
      <c r="S32" s="23"/>
      <c r="T32" s="23"/>
    </row>
    <row r="33" spans="14:20">
      <c r="O33" s="23"/>
      <c r="P33" s="23"/>
      <c r="Q33" s="23"/>
      <c r="R33" s="23"/>
      <c r="S33" s="23"/>
      <c r="T33" s="23"/>
    </row>
    <row r="34" spans="14:20">
      <c r="O34" s="23"/>
      <c r="P34" s="23"/>
      <c r="Q34" s="23"/>
      <c r="R34" s="23"/>
      <c r="S34" s="23"/>
      <c r="T34" s="23"/>
    </row>
    <row r="35" spans="14:20">
      <c r="O35" s="23"/>
      <c r="P35" s="23"/>
      <c r="Q35" s="23"/>
      <c r="R35" s="23"/>
      <c r="S35" s="23"/>
      <c r="T35" s="23"/>
    </row>
    <row r="36" spans="14:20">
      <c r="O36" s="23"/>
      <c r="P36" s="23"/>
      <c r="Q36" s="23"/>
      <c r="R36" s="23"/>
      <c r="S36" s="23"/>
      <c r="T36" s="23"/>
    </row>
    <row r="37" spans="14:20">
      <c r="O37" s="23"/>
      <c r="P37" s="23"/>
      <c r="Q37" s="23"/>
      <c r="R37" s="23"/>
      <c r="S37" s="23"/>
      <c r="T37" s="23"/>
    </row>
    <row r="38" spans="14:20">
      <c r="N38" s="24"/>
    </row>
  </sheetData>
  <mergeCells count="2">
    <mergeCell ref="F7:I8"/>
    <mergeCell ref="O24:T37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83D2-B4B9-3447-BFA6-94E7C9E91C4E}">
  <dimension ref="G8:AG48"/>
  <sheetViews>
    <sheetView topLeftCell="E11" workbookViewId="0">
      <selection activeCell="O27" sqref="O27:V42"/>
    </sheetView>
  </sheetViews>
  <sheetFormatPr baseColWidth="10" defaultRowHeight="15"/>
  <cols>
    <col min="5" max="6" width="10.83203125" customWidth="1"/>
  </cols>
  <sheetData>
    <row r="8" spans="7:14" ht="16">
      <c r="N8" s="4"/>
    </row>
    <row r="10" spans="7:14">
      <c r="G10" s="17" t="s">
        <v>87</v>
      </c>
      <c r="H10" s="17"/>
      <c r="I10" s="17"/>
      <c r="J10" s="17"/>
      <c r="K10" s="17"/>
    </row>
    <row r="11" spans="7:14">
      <c r="G11" s="17"/>
      <c r="H11" s="17"/>
      <c r="I11" s="17"/>
      <c r="J11" s="17"/>
      <c r="K11" s="17"/>
    </row>
    <row r="14" spans="7:14">
      <c r="G14" s="2" t="s">
        <v>1</v>
      </c>
      <c r="H14" s="2" t="s">
        <v>86</v>
      </c>
      <c r="I14" s="2" t="s">
        <v>70</v>
      </c>
      <c r="J14" s="2" t="s">
        <v>71</v>
      </c>
      <c r="K14" s="2" t="s">
        <v>73</v>
      </c>
    </row>
    <row r="15" spans="7:14">
      <c r="G15" s="2" t="s">
        <v>8</v>
      </c>
      <c r="H15" s="2">
        <f>MATCH(Table6[[#This Row],[Month]],
{"January","February","March","April","May","June","July","August","September","October","November","December"},0)</f>
        <v>1</v>
      </c>
      <c r="I15" s="2">
        <v>17000</v>
      </c>
      <c r="J15" s="2">
        <v>17426</v>
      </c>
      <c r="K15" s="2">
        <v>426</v>
      </c>
    </row>
    <row r="16" spans="7:14">
      <c r="G16" s="2" t="s">
        <v>28</v>
      </c>
      <c r="H16" s="2">
        <f>MATCH(Table6[[#This Row],[Month]],
{"January","February","March","April","May","June","July","August","September","October","November","December"},0)</f>
        <v>2</v>
      </c>
      <c r="I16" s="2">
        <v>17000</v>
      </c>
      <c r="J16" s="2">
        <v>17045</v>
      </c>
      <c r="K16" s="2">
        <v>45</v>
      </c>
    </row>
    <row r="17" spans="7:33">
      <c r="G17" s="2" t="s">
        <v>30</v>
      </c>
      <c r="H17" s="2">
        <f>MATCH(Table6[[#This Row],[Month]],
{"January","February","March","April","May","June","July","August","September","October","November","December"},0)</f>
        <v>3</v>
      </c>
      <c r="I17" s="2">
        <v>17000</v>
      </c>
      <c r="J17" s="2">
        <v>17295</v>
      </c>
      <c r="K17" s="2">
        <v>295</v>
      </c>
    </row>
    <row r="18" spans="7:33">
      <c r="G18" s="2" t="s">
        <v>34</v>
      </c>
      <c r="H18" s="2">
        <f>MATCH(Table6[[#This Row],[Month]],
{"January","February","March","April","May","June","July","August","September","October","November","December"},0)</f>
        <v>5</v>
      </c>
      <c r="I18" s="2">
        <v>17000</v>
      </c>
      <c r="J18" s="2">
        <v>16487</v>
      </c>
      <c r="K18" s="2">
        <v>-513</v>
      </c>
    </row>
    <row r="19" spans="7:33">
      <c r="G19" s="2" t="s">
        <v>36</v>
      </c>
      <c r="H19" s="2">
        <f>MATCH(Table6[[#This Row],[Month]],
{"January","February","March","April","May","June","July","August","September","October","November","December"},0)</f>
        <v>6</v>
      </c>
      <c r="I19" s="2">
        <v>17000</v>
      </c>
      <c r="J19" s="2">
        <v>16622</v>
      </c>
      <c r="K19" s="2">
        <v>-378</v>
      </c>
    </row>
    <row r="20" spans="7:33">
      <c r="G20" s="2" t="s">
        <v>38</v>
      </c>
      <c r="H20" s="2">
        <f>MATCH(Table6[[#This Row],[Month]],
{"January","February","March","April","May","June","July","August","September","October","November","December"},0)</f>
        <v>7</v>
      </c>
      <c r="I20" s="2">
        <v>17000</v>
      </c>
      <c r="J20" s="2">
        <v>16770</v>
      </c>
      <c r="K20" s="2">
        <v>-230</v>
      </c>
    </row>
    <row r="21" spans="7:33">
      <c r="G21" s="2" t="s">
        <v>42</v>
      </c>
      <c r="H21" s="2">
        <f>MATCH(Table6[[#This Row],[Month]],
{"January","February","March","April","May","June","July","August","September","October","November","December"},0)</f>
        <v>9</v>
      </c>
      <c r="I21" s="2">
        <v>17000</v>
      </c>
      <c r="J21" s="2">
        <v>17023</v>
      </c>
      <c r="K21" s="2">
        <v>23</v>
      </c>
    </row>
    <row r="22" spans="7:33">
      <c r="G22" s="2" t="s">
        <v>44</v>
      </c>
      <c r="H22" s="2">
        <f>MATCH(Table6[[#This Row],[Month]],
{"January","February","March","April","May","June","July","August","September","October","November","December"},0)</f>
        <v>10</v>
      </c>
      <c r="I22" s="2">
        <v>17000</v>
      </c>
      <c r="J22" s="2">
        <v>17073</v>
      </c>
      <c r="K22" s="2">
        <v>73</v>
      </c>
    </row>
    <row r="23" spans="7:33">
      <c r="G23" s="2" t="s">
        <v>46</v>
      </c>
      <c r="H23" s="2">
        <f>MATCH(Table6[[#This Row],[Month]],
{"January","February","March","April","May","June","July","August","September","October","November","December"},0)</f>
        <v>11</v>
      </c>
      <c r="I23" s="2">
        <v>17000</v>
      </c>
      <c r="J23" s="2">
        <v>17123</v>
      </c>
      <c r="K23" s="2">
        <v>123</v>
      </c>
    </row>
    <row r="24" spans="7:33">
      <c r="G24" s="2" t="s">
        <v>48</v>
      </c>
      <c r="H24" s="2">
        <f>MATCH(Table6[[#This Row],[Month]],
{"January","February","March","April","May","June","July","August","September","October","November","December"},0)</f>
        <v>12</v>
      </c>
      <c r="I24" s="2">
        <v>17000</v>
      </c>
      <c r="J24" s="2">
        <v>17440</v>
      </c>
      <c r="K24" s="2">
        <v>440</v>
      </c>
    </row>
    <row r="26" spans="7:33">
      <c r="O26" s="27"/>
      <c r="P26" s="28"/>
      <c r="Q26" s="28"/>
      <c r="R26" s="28"/>
      <c r="S26" s="28"/>
      <c r="T26" s="28"/>
      <c r="U26" s="28"/>
      <c r="V26" s="28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7:33">
      <c r="O27" s="30" t="s">
        <v>92</v>
      </c>
      <c r="P27" s="29"/>
      <c r="Q27" s="29"/>
      <c r="R27" s="29"/>
      <c r="S27" s="29"/>
      <c r="T27" s="29"/>
      <c r="U27" s="29"/>
      <c r="V27" s="29"/>
    </row>
    <row r="28" spans="7:33">
      <c r="O28" s="29"/>
      <c r="P28" s="29"/>
      <c r="Q28" s="29"/>
      <c r="R28" s="29"/>
      <c r="S28" s="29"/>
      <c r="T28" s="29"/>
      <c r="U28" s="29"/>
      <c r="V28" s="29"/>
    </row>
    <row r="29" spans="7:33">
      <c r="O29" s="29"/>
      <c r="P29" s="29"/>
      <c r="Q29" s="29"/>
      <c r="R29" s="29"/>
      <c r="S29" s="29"/>
      <c r="T29" s="29"/>
      <c r="U29" s="29"/>
      <c r="V29" s="29"/>
    </row>
    <row r="30" spans="7:33">
      <c r="O30" s="29"/>
      <c r="P30" s="29"/>
      <c r="Q30" s="29"/>
      <c r="R30" s="29"/>
      <c r="S30" s="29"/>
      <c r="T30" s="29"/>
      <c r="U30" s="29"/>
      <c r="V30" s="29"/>
    </row>
    <row r="31" spans="7:33">
      <c r="O31" s="29"/>
      <c r="P31" s="29"/>
      <c r="Q31" s="29"/>
      <c r="R31" s="29"/>
      <c r="S31" s="29"/>
      <c r="T31" s="29"/>
      <c r="U31" s="29"/>
      <c r="V31" s="29"/>
    </row>
    <row r="32" spans="7:33">
      <c r="O32" s="29"/>
      <c r="P32" s="29"/>
      <c r="Q32" s="29"/>
      <c r="R32" s="29"/>
      <c r="S32" s="29"/>
      <c r="T32" s="29"/>
      <c r="U32" s="29"/>
      <c r="V32" s="29"/>
    </row>
    <row r="33" spans="15:22">
      <c r="O33" s="29"/>
      <c r="P33" s="29"/>
      <c r="Q33" s="29"/>
      <c r="R33" s="29"/>
      <c r="S33" s="29"/>
      <c r="T33" s="29"/>
      <c r="U33" s="29"/>
      <c r="V33" s="29"/>
    </row>
    <row r="34" spans="15:22">
      <c r="O34" s="29"/>
      <c r="P34" s="29"/>
      <c r="Q34" s="29"/>
      <c r="R34" s="29"/>
      <c r="S34" s="29"/>
      <c r="T34" s="29"/>
      <c r="U34" s="29"/>
      <c r="V34" s="29"/>
    </row>
    <row r="35" spans="15:22">
      <c r="O35" s="29"/>
      <c r="P35" s="29"/>
      <c r="Q35" s="29"/>
      <c r="R35" s="29"/>
      <c r="S35" s="29"/>
      <c r="T35" s="29"/>
      <c r="U35" s="29"/>
      <c r="V35" s="29"/>
    </row>
    <row r="36" spans="15:22">
      <c r="O36" s="29"/>
      <c r="P36" s="29"/>
      <c r="Q36" s="29"/>
      <c r="R36" s="29"/>
      <c r="S36" s="29"/>
      <c r="T36" s="29"/>
      <c r="U36" s="29"/>
      <c r="V36" s="29"/>
    </row>
    <row r="37" spans="15:22">
      <c r="O37" s="29"/>
      <c r="P37" s="29"/>
      <c r="Q37" s="29"/>
      <c r="R37" s="29"/>
      <c r="S37" s="29"/>
      <c r="T37" s="29"/>
      <c r="U37" s="29"/>
      <c r="V37" s="29"/>
    </row>
    <row r="38" spans="15:22">
      <c r="O38" s="29"/>
      <c r="P38" s="29"/>
      <c r="Q38" s="29"/>
      <c r="R38" s="29"/>
      <c r="S38" s="29"/>
      <c r="T38" s="29"/>
      <c r="U38" s="29"/>
      <c r="V38" s="29"/>
    </row>
    <row r="39" spans="15:22">
      <c r="O39" s="29"/>
      <c r="P39" s="29"/>
      <c r="Q39" s="29"/>
      <c r="R39" s="29"/>
      <c r="S39" s="29"/>
      <c r="T39" s="29"/>
      <c r="U39" s="29"/>
      <c r="V39" s="29"/>
    </row>
    <row r="40" spans="15:22">
      <c r="O40" s="29"/>
      <c r="P40" s="29"/>
      <c r="Q40" s="29"/>
      <c r="R40" s="29"/>
      <c r="S40" s="29"/>
      <c r="T40" s="29"/>
      <c r="U40" s="29"/>
      <c r="V40" s="29"/>
    </row>
    <row r="41" spans="15:22">
      <c r="O41" s="29"/>
      <c r="P41" s="29"/>
      <c r="Q41" s="29"/>
      <c r="R41" s="29"/>
      <c r="S41" s="29"/>
      <c r="T41" s="29"/>
      <c r="U41" s="29"/>
      <c r="V41" s="29"/>
    </row>
    <row r="42" spans="15:22">
      <c r="O42" s="29"/>
      <c r="P42" s="29"/>
      <c r="Q42" s="29"/>
      <c r="R42" s="29"/>
      <c r="S42" s="29"/>
      <c r="T42" s="29"/>
      <c r="U42" s="29"/>
      <c r="V42" s="29"/>
    </row>
    <row r="43" spans="15:22">
      <c r="O43" s="26"/>
      <c r="P43" s="26"/>
      <c r="Q43" s="26"/>
      <c r="R43" s="26"/>
      <c r="S43" s="26"/>
      <c r="T43" s="26"/>
      <c r="U43" s="26"/>
      <c r="V43" s="26"/>
    </row>
    <row r="44" spans="15:22">
      <c r="O44" s="26"/>
      <c r="P44" s="26"/>
      <c r="Q44" s="26"/>
      <c r="R44" s="26"/>
      <c r="S44" s="26"/>
      <c r="T44" s="26"/>
      <c r="U44" s="26"/>
      <c r="V44" s="26"/>
    </row>
    <row r="45" spans="15:22">
      <c r="O45" s="26"/>
      <c r="P45" s="26"/>
      <c r="Q45" s="26"/>
      <c r="R45" s="26"/>
      <c r="S45" s="26"/>
      <c r="T45" s="26"/>
      <c r="U45" s="26"/>
      <c r="V45" s="26"/>
    </row>
    <row r="46" spans="15:22">
      <c r="O46" s="26"/>
      <c r="P46" s="26"/>
      <c r="Q46" s="26"/>
      <c r="R46" s="26"/>
      <c r="S46" s="26"/>
      <c r="T46" s="26"/>
      <c r="U46" s="26"/>
      <c r="V46" s="26"/>
    </row>
    <row r="47" spans="15:22">
      <c r="O47" s="26"/>
      <c r="P47" s="26"/>
      <c r="Q47" s="26"/>
      <c r="R47" s="26"/>
      <c r="S47" s="26"/>
      <c r="T47" s="26"/>
      <c r="U47" s="26"/>
      <c r="V47" s="26"/>
    </row>
    <row r="48" spans="15:22">
      <c r="O48" s="26"/>
      <c r="P48" s="26"/>
      <c r="Q48" s="26"/>
      <c r="R48" s="26"/>
      <c r="S48" s="26"/>
      <c r="T48" s="26"/>
      <c r="U48" s="26"/>
      <c r="V48" s="26"/>
    </row>
  </sheetData>
  <mergeCells count="2">
    <mergeCell ref="G10:K11"/>
    <mergeCell ref="O27:V4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685B740EC79408259AE2BD0A2D92D" ma:contentTypeVersion="14" ma:contentTypeDescription="Create a new document." ma:contentTypeScope="" ma:versionID="8965030d3d3696b00e9e7ccc2a238f0a">
  <xsd:schema xmlns:xsd="http://www.w3.org/2001/XMLSchema" xmlns:xs="http://www.w3.org/2001/XMLSchema" xmlns:p="http://schemas.microsoft.com/office/2006/metadata/properties" xmlns:ns2="2a996e9b-acda-4a2a-ae73-4af3523026d5" xmlns:ns3="d1c7576f-0a17-4153-96c3-e6b3b35b3899" targetNamespace="http://schemas.microsoft.com/office/2006/metadata/properties" ma:root="true" ma:fieldsID="a53a9f2614c02a34469cb9fde7117d79" ns2:_="" ns3:_="">
    <xsd:import namespace="2a996e9b-acda-4a2a-ae73-4af3523026d5"/>
    <xsd:import namespace="d1c7576f-0a17-4153-96c3-e6b3b35b38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96e9b-acda-4a2a-ae73-4af352302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5e8017-cffe-4aae-9af1-34a75a593669}" ma:internalName="TaxCatchAll" ma:showField="CatchAllData" ma:web="2a996e9b-acda-4a2a-ae73-4af352302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576f-0a17-4153-96c3-e6b3b35b3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597f9d-be7c-4b7f-9930-bc8b121d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c7576f-0a17-4153-96c3-e6b3b35b3899">
      <Terms xmlns="http://schemas.microsoft.com/office/infopath/2007/PartnerControls"/>
    </lcf76f155ced4ddcb4097134ff3c332f>
    <TaxCatchAll xmlns="2a996e9b-acda-4a2a-ae73-4af3523026d5" xsi:nil="true"/>
  </documentManagement>
</p:properties>
</file>

<file path=customXml/itemProps1.xml><?xml version="1.0" encoding="utf-8"?>
<ds:datastoreItem xmlns:ds="http://schemas.openxmlformats.org/officeDocument/2006/customXml" ds:itemID="{585038DD-F8AC-4B68-B961-6A22D7A7C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996e9b-acda-4a2a-ae73-4af3523026d5"/>
    <ds:schemaRef ds:uri="d1c7576f-0a17-4153-96c3-e6b3b35b3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15C327-CBDF-4AFF-B4E0-17B34083BD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92F9B0-783C-41A4-96E2-80884212E342}">
  <ds:schemaRefs>
    <ds:schemaRef ds:uri="http://schemas.microsoft.com/office/2006/metadata/properties"/>
    <ds:schemaRef ds:uri="http://schemas.microsoft.com/office/infopath/2007/PartnerControls"/>
    <ds:schemaRef ds:uri="d1c7576f-0a17-4153-96c3-e6b3b35b3899"/>
    <ds:schemaRef ds:uri="2a996e9b-acda-4a2a-ae73-4af3523026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 Items</vt:lpstr>
      <vt:lpstr>Income Items</vt:lpstr>
      <vt:lpstr>Sql_Revenue_Category_Drilldown</vt:lpstr>
      <vt:lpstr>SQL_Quarterly_Analysis</vt:lpstr>
      <vt:lpstr>SQL_Expense_Overspend</vt:lpstr>
      <vt:lpstr>SQL_Monthly_Analysis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Sahasra Abhyasa</dc:creator>
  <cp:keywords/>
  <dc:description/>
  <cp:lastModifiedBy>HARISH THOTA</cp:lastModifiedBy>
  <cp:revision/>
  <dcterms:created xsi:type="dcterms:W3CDTF">2025-02-11T05:31:51Z</dcterms:created>
  <dcterms:modified xsi:type="dcterms:W3CDTF">2025-12-18T08:36:12Z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</Properties>
</file>